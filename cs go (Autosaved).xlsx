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915"/>
  <workbookPr/>
  <mc:AlternateContent xmlns:mc="http://schemas.openxmlformats.org/markup-compatibility/2006">
    <mc:Choice Requires="x15">
      <x15ac:absPath xmlns:x15ac="http://schemas.microsoft.com/office/spreadsheetml/2010/11/ac" url="/Users/McDdong/Desktop/invest/csgo/"/>
    </mc:Choice>
  </mc:AlternateContent>
  <bookViews>
    <workbookView xWindow="0" yWindow="460" windowWidth="25600" windowHeight="14180" tabRatio="500" activeTab="1"/>
  </bookViews>
  <sheets>
    <sheet name="function" sheetId="5" r:id="rId1"/>
    <sheet name="1 tier rough calculation" sheetId="2" r:id="rId2"/>
    <sheet name="1 tier 2nd calculation" sheetId="10" r:id="rId3"/>
    <sheet name="trial 7 week" sheetId="11" r:id="rId4"/>
    <sheet name="tier 2 tengri vs vega" sheetId="9" r:id="rId5"/>
    <sheet name="problem" sheetId="8" r:id="rId6"/>
    <sheet name="2 tier" sheetId="3" r:id="rId7"/>
    <sheet name="nip vs g2" sheetId="6" r:id="rId8"/>
    <sheet name="Nip 2017 game" sheetId="7" r:id="rId9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24" i="2" l="1"/>
  <c r="C33" i="11"/>
  <c r="F30" i="11"/>
  <c r="D30" i="11"/>
  <c r="D7" i="11"/>
  <c r="C9" i="11"/>
  <c r="D14" i="11"/>
  <c r="F14" i="11"/>
  <c r="C16" i="11"/>
  <c r="C17" i="11"/>
  <c r="D22" i="11"/>
  <c r="F22" i="11"/>
  <c r="C24" i="11"/>
  <c r="C25" i="11"/>
  <c r="A184" i="10"/>
  <c r="H184" i="10"/>
  <c r="N10" i="10"/>
  <c r="A180" i="10"/>
  <c r="H180" i="10"/>
  <c r="N6" i="10"/>
  <c r="A185" i="10"/>
  <c r="H185" i="10"/>
  <c r="N11" i="10"/>
  <c r="N16" i="10"/>
  <c r="L54" i="10"/>
  <c r="S54" i="10"/>
  <c r="Z10" i="10"/>
  <c r="L50" i="10"/>
  <c r="S50" i="10"/>
  <c r="Z6" i="10"/>
  <c r="L55" i="10"/>
  <c r="S55" i="10"/>
  <c r="Z11" i="10"/>
  <c r="O16" i="10"/>
  <c r="N17" i="10"/>
  <c r="O18" i="10"/>
  <c r="N18" i="10"/>
  <c r="A103" i="10"/>
  <c r="H103" i="10"/>
  <c r="M7" i="10"/>
  <c r="A108" i="10"/>
  <c r="H108" i="10"/>
  <c r="M12" i="10"/>
  <c r="A109" i="10"/>
  <c r="H109" i="10"/>
  <c r="M13" i="10"/>
  <c r="Q16" i="10"/>
  <c r="L25" i="10"/>
  <c r="S25" i="10"/>
  <c r="X7" i="10"/>
  <c r="L30" i="10"/>
  <c r="S30" i="10"/>
  <c r="X12" i="10"/>
  <c r="L31" i="10"/>
  <c r="S31" i="10"/>
  <c r="X13" i="10"/>
  <c r="R16" i="10"/>
  <c r="Q17" i="10"/>
  <c r="R18" i="10"/>
  <c r="Q18" i="10"/>
  <c r="D110" i="10"/>
  <c r="L51" i="10"/>
  <c r="S51" i="10"/>
  <c r="L52" i="10"/>
  <c r="S52" i="10"/>
  <c r="L53" i="10"/>
  <c r="S53" i="10"/>
  <c r="L56" i="10"/>
  <c r="S56" i="10"/>
  <c r="L57" i="10"/>
  <c r="S57" i="10"/>
  <c r="S38" i="10"/>
  <c r="S39" i="10"/>
  <c r="S40" i="10"/>
  <c r="S41" i="10"/>
  <c r="S42" i="10"/>
  <c r="S43" i="10"/>
  <c r="S44" i="10"/>
  <c r="S37" i="10"/>
  <c r="L26" i="10"/>
  <c r="S26" i="10"/>
  <c r="L27" i="10"/>
  <c r="S27" i="10"/>
  <c r="L28" i="10"/>
  <c r="S28" i="10"/>
  <c r="L29" i="10"/>
  <c r="S29" i="10"/>
  <c r="L24" i="10"/>
  <c r="S24" i="10"/>
  <c r="A181" i="10"/>
  <c r="H181" i="10"/>
  <c r="A182" i="10"/>
  <c r="H182" i="10"/>
  <c r="A183" i="10"/>
  <c r="H183" i="10"/>
  <c r="A186" i="10"/>
  <c r="H186" i="10"/>
  <c r="A187" i="10"/>
  <c r="H187" i="10"/>
  <c r="H168" i="10"/>
  <c r="H169" i="10"/>
  <c r="H170" i="10"/>
  <c r="H171" i="10"/>
  <c r="H172" i="10"/>
  <c r="H173" i="10"/>
  <c r="H174" i="10"/>
  <c r="H167" i="10"/>
  <c r="H155" i="10"/>
  <c r="H156" i="10"/>
  <c r="H157" i="10"/>
  <c r="H158" i="10"/>
  <c r="H159" i="10"/>
  <c r="H160" i="10"/>
  <c r="H161" i="10"/>
  <c r="H154" i="10"/>
  <c r="H142" i="10"/>
  <c r="H143" i="10"/>
  <c r="H144" i="10"/>
  <c r="H145" i="10"/>
  <c r="H146" i="10"/>
  <c r="H147" i="10"/>
  <c r="H148" i="10"/>
  <c r="H141" i="10"/>
  <c r="H129" i="10"/>
  <c r="H130" i="10"/>
  <c r="H131" i="10"/>
  <c r="H132" i="10"/>
  <c r="H133" i="10"/>
  <c r="H134" i="10"/>
  <c r="H135" i="10"/>
  <c r="H136" i="10"/>
  <c r="H128" i="10"/>
  <c r="H116" i="10"/>
  <c r="H117" i="10"/>
  <c r="H118" i="10"/>
  <c r="H119" i="10"/>
  <c r="H120" i="10"/>
  <c r="H121" i="10"/>
  <c r="H122" i="10"/>
  <c r="H115" i="10"/>
  <c r="A104" i="10"/>
  <c r="H104" i="10"/>
  <c r="A105" i="10"/>
  <c r="H105" i="10"/>
  <c r="A106" i="10"/>
  <c r="H106" i="10"/>
  <c r="A107" i="10"/>
  <c r="H107" i="10"/>
  <c r="A102" i="10"/>
  <c r="H102" i="10"/>
  <c r="H90" i="10"/>
  <c r="H91" i="10"/>
  <c r="H92" i="10"/>
  <c r="H93" i="10"/>
  <c r="H94" i="10"/>
  <c r="H95" i="10"/>
  <c r="H96" i="10"/>
  <c r="H89" i="10"/>
  <c r="H77" i="10"/>
  <c r="H78" i="10"/>
  <c r="H79" i="10"/>
  <c r="H80" i="10"/>
  <c r="H81" i="10"/>
  <c r="H82" i="10"/>
  <c r="H83" i="10"/>
  <c r="H76" i="10"/>
  <c r="H64" i="10"/>
  <c r="H65" i="10"/>
  <c r="H66" i="10"/>
  <c r="H67" i="10"/>
  <c r="H68" i="10"/>
  <c r="H69" i="10"/>
  <c r="H70" i="10"/>
  <c r="H63" i="10"/>
  <c r="H51" i="10"/>
  <c r="H52" i="10"/>
  <c r="H53" i="10"/>
  <c r="H54" i="10"/>
  <c r="H55" i="10"/>
  <c r="H56" i="10"/>
  <c r="H57" i="10"/>
  <c r="H50" i="10"/>
  <c r="A44" i="10"/>
  <c r="H44" i="10"/>
  <c r="A43" i="10"/>
  <c r="H43" i="10"/>
  <c r="A42" i="10"/>
  <c r="H42" i="10"/>
  <c r="A41" i="10"/>
  <c r="H41" i="10"/>
  <c r="A40" i="10"/>
  <c r="H40" i="10"/>
  <c r="A39" i="10"/>
  <c r="H39" i="10"/>
  <c r="A38" i="10"/>
  <c r="H38" i="10"/>
  <c r="A37" i="10"/>
  <c r="H37" i="10"/>
  <c r="F21" i="10"/>
  <c r="L44" i="10"/>
  <c r="L43" i="10"/>
  <c r="L42" i="10"/>
  <c r="L41" i="10"/>
  <c r="L40" i="10"/>
  <c r="L39" i="10"/>
  <c r="L38" i="10"/>
  <c r="L37" i="10"/>
  <c r="F20" i="10"/>
  <c r="F19" i="10"/>
  <c r="F9" i="10"/>
  <c r="A174" i="10"/>
  <c r="A173" i="10"/>
  <c r="A172" i="10"/>
  <c r="A171" i="10"/>
  <c r="A170" i="10"/>
  <c r="A169" i="10"/>
  <c r="A168" i="10"/>
  <c r="A167" i="10"/>
  <c r="F14" i="10"/>
  <c r="A161" i="10"/>
  <c r="A160" i="10"/>
  <c r="A159" i="10"/>
  <c r="A158" i="10"/>
  <c r="A157" i="10"/>
  <c r="A156" i="10"/>
  <c r="A155" i="10"/>
  <c r="A154" i="10"/>
  <c r="F15" i="10"/>
  <c r="A148" i="10"/>
  <c r="A147" i="10"/>
  <c r="A146" i="10"/>
  <c r="A145" i="10"/>
  <c r="A144" i="10"/>
  <c r="A143" i="10"/>
  <c r="A142" i="10"/>
  <c r="A141" i="10"/>
  <c r="F10" i="10"/>
  <c r="A135" i="10"/>
  <c r="A134" i="10"/>
  <c r="A133" i="10"/>
  <c r="A132" i="10"/>
  <c r="A131" i="10"/>
  <c r="A130" i="10"/>
  <c r="A129" i="10"/>
  <c r="A128" i="10"/>
  <c r="F11" i="10"/>
  <c r="A122" i="10"/>
  <c r="A121" i="10"/>
  <c r="A120" i="10"/>
  <c r="A119" i="10"/>
  <c r="A118" i="10"/>
  <c r="A117" i="10"/>
  <c r="A116" i="10"/>
  <c r="A115" i="10"/>
  <c r="F16" i="10"/>
  <c r="F8" i="10"/>
  <c r="A96" i="10"/>
  <c r="A95" i="10"/>
  <c r="A94" i="10"/>
  <c r="A93" i="10"/>
  <c r="A92" i="10"/>
  <c r="A91" i="10"/>
  <c r="A90" i="10"/>
  <c r="A89" i="10"/>
  <c r="F13" i="10"/>
  <c r="A83" i="10"/>
  <c r="A82" i="10"/>
  <c r="A81" i="10"/>
  <c r="A80" i="10"/>
  <c r="A79" i="10"/>
  <c r="A78" i="10"/>
  <c r="A77" i="10"/>
  <c r="A76" i="10"/>
  <c r="F7" i="10"/>
  <c r="A70" i="10"/>
  <c r="A69" i="10"/>
  <c r="A68" i="10"/>
  <c r="A67" i="10"/>
  <c r="A66" i="10"/>
  <c r="A65" i="10"/>
  <c r="A64" i="10"/>
  <c r="A63" i="10"/>
  <c r="F12" i="10"/>
  <c r="A57" i="10"/>
  <c r="A56" i="10"/>
  <c r="A55" i="10"/>
  <c r="A54" i="10"/>
  <c r="A53" i="10"/>
  <c r="A52" i="10"/>
  <c r="A51" i="10"/>
  <c r="A50" i="10"/>
  <c r="F17" i="10"/>
  <c r="F18" i="10"/>
  <c r="H31" i="10"/>
  <c r="H30" i="10"/>
  <c r="H29" i="10"/>
  <c r="H28" i="10"/>
  <c r="H27" i="10"/>
  <c r="H26" i="10"/>
  <c r="H25" i="10"/>
  <c r="H24" i="10"/>
  <c r="A31" i="10"/>
  <c r="A30" i="10"/>
  <c r="A29" i="10"/>
  <c r="A28" i="10"/>
  <c r="A27" i="10"/>
  <c r="A26" i="10"/>
  <c r="A25" i="10"/>
  <c r="A24" i="10"/>
  <c r="F6" i="10"/>
  <c r="D22" i="10"/>
  <c r="D188" i="10"/>
  <c r="F187" i="10"/>
  <c r="J187" i="10"/>
  <c r="D178" i="10"/>
  <c r="G187" i="10"/>
  <c r="F186" i="10"/>
  <c r="J186" i="10"/>
  <c r="G186" i="10"/>
  <c r="F185" i="10"/>
  <c r="J185" i="10"/>
  <c r="G185" i="10"/>
  <c r="F184" i="10"/>
  <c r="J184" i="10"/>
  <c r="G184" i="10"/>
  <c r="F183" i="10"/>
  <c r="J183" i="10"/>
  <c r="G183" i="10"/>
  <c r="F182" i="10"/>
  <c r="J182" i="10"/>
  <c r="G182" i="10"/>
  <c r="F181" i="10"/>
  <c r="J181" i="10"/>
  <c r="G181" i="10"/>
  <c r="F180" i="10"/>
  <c r="J180" i="10"/>
  <c r="G180" i="10"/>
  <c r="D175" i="10"/>
  <c r="F174" i="10"/>
  <c r="J174" i="10"/>
  <c r="D165" i="10"/>
  <c r="G174" i="10"/>
  <c r="F173" i="10"/>
  <c r="J173" i="10"/>
  <c r="G173" i="10"/>
  <c r="F172" i="10"/>
  <c r="J172" i="10"/>
  <c r="G172" i="10"/>
  <c r="F171" i="10"/>
  <c r="J171" i="10"/>
  <c r="G171" i="10"/>
  <c r="F170" i="10"/>
  <c r="J170" i="10"/>
  <c r="G170" i="10"/>
  <c r="F169" i="10"/>
  <c r="J169" i="10"/>
  <c r="G169" i="10"/>
  <c r="F168" i="10"/>
  <c r="J168" i="10"/>
  <c r="G168" i="10"/>
  <c r="F167" i="10"/>
  <c r="J167" i="10"/>
  <c r="G167" i="10"/>
  <c r="D162" i="10"/>
  <c r="F161" i="10"/>
  <c r="J161" i="10"/>
  <c r="D152" i="10"/>
  <c r="G161" i="10"/>
  <c r="F160" i="10"/>
  <c r="J160" i="10"/>
  <c r="G160" i="10"/>
  <c r="F159" i="10"/>
  <c r="J159" i="10"/>
  <c r="G159" i="10"/>
  <c r="F158" i="10"/>
  <c r="J158" i="10"/>
  <c r="G158" i="10"/>
  <c r="F157" i="10"/>
  <c r="J157" i="10"/>
  <c r="G157" i="10"/>
  <c r="F156" i="10"/>
  <c r="J156" i="10"/>
  <c r="G156" i="10"/>
  <c r="F155" i="10"/>
  <c r="J155" i="10"/>
  <c r="G155" i="10"/>
  <c r="F154" i="10"/>
  <c r="J154" i="10"/>
  <c r="G154" i="10"/>
  <c r="D149" i="10"/>
  <c r="D139" i="10"/>
  <c r="F148" i="10"/>
  <c r="G148" i="10"/>
  <c r="F147" i="10"/>
  <c r="J147" i="10"/>
  <c r="G147" i="10"/>
  <c r="F146" i="10"/>
  <c r="J146" i="10"/>
  <c r="G146" i="10"/>
  <c r="F145" i="10"/>
  <c r="J145" i="10"/>
  <c r="G145" i="10"/>
  <c r="F144" i="10"/>
  <c r="J144" i="10"/>
  <c r="G144" i="10"/>
  <c r="F143" i="10"/>
  <c r="J143" i="10"/>
  <c r="G143" i="10"/>
  <c r="F142" i="10"/>
  <c r="J142" i="10"/>
  <c r="G142" i="10"/>
  <c r="F141" i="10"/>
  <c r="J141" i="10"/>
  <c r="G141" i="10"/>
  <c r="D136" i="10"/>
  <c r="F135" i="10"/>
  <c r="J135" i="10"/>
  <c r="D126" i="10"/>
  <c r="G135" i="10"/>
  <c r="F134" i="10"/>
  <c r="J134" i="10"/>
  <c r="G134" i="10"/>
  <c r="F133" i="10"/>
  <c r="J133" i="10"/>
  <c r="G133" i="10"/>
  <c r="F132" i="10"/>
  <c r="J132" i="10"/>
  <c r="G132" i="10"/>
  <c r="F131" i="10"/>
  <c r="J131" i="10"/>
  <c r="G131" i="10"/>
  <c r="F130" i="10"/>
  <c r="J130" i="10"/>
  <c r="G130" i="10"/>
  <c r="F129" i="10"/>
  <c r="J129" i="10"/>
  <c r="G129" i="10"/>
  <c r="F128" i="10"/>
  <c r="J128" i="10"/>
  <c r="G128" i="10"/>
  <c r="D123" i="10"/>
  <c r="F122" i="10"/>
  <c r="J122" i="10"/>
  <c r="D113" i="10"/>
  <c r="G122" i="10"/>
  <c r="F121" i="10"/>
  <c r="J121" i="10"/>
  <c r="G121" i="10"/>
  <c r="F120" i="10"/>
  <c r="J120" i="10"/>
  <c r="G120" i="10"/>
  <c r="F119" i="10"/>
  <c r="J119" i="10"/>
  <c r="G119" i="10"/>
  <c r="F118" i="10"/>
  <c r="J118" i="10"/>
  <c r="G118" i="10"/>
  <c r="F117" i="10"/>
  <c r="J117" i="10"/>
  <c r="G117" i="10"/>
  <c r="F116" i="10"/>
  <c r="J116" i="10"/>
  <c r="G116" i="10"/>
  <c r="F115" i="10"/>
  <c r="J115" i="10"/>
  <c r="G115" i="10"/>
  <c r="F109" i="10"/>
  <c r="J109" i="10"/>
  <c r="D100" i="10"/>
  <c r="G109" i="10"/>
  <c r="F108" i="10"/>
  <c r="J108" i="10"/>
  <c r="G108" i="10"/>
  <c r="F107" i="10"/>
  <c r="J107" i="10"/>
  <c r="G107" i="10"/>
  <c r="F106" i="10"/>
  <c r="J106" i="10"/>
  <c r="G106" i="10"/>
  <c r="F105" i="10"/>
  <c r="J105" i="10"/>
  <c r="G105" i="10"/>
  <c r="F104" i="10"/>
  <c r="J104" i="10"/>
  <c r="G104" i="10"/>
  <c r="F103" i="10"/>
  <c r="J103" i="10"/>
  <c r="G103" i="10"/>
  <c r="F102" i="10"/>
  <c r="J102" i="10"/>
  <c r="G102" i="10"/>
  <c r="D97" i="10"/>
  <c r="F96" i="10"/>
  <c r="J96" i="10"/>
  <c r="D87" i="10"/>
  <c r="G96" i="10"/>
  <c r="F95" i="10"/>
  <c r="J95" i="10"/>
  <c r="G95" i="10"/>
  <c r="F94" i="10"/>
  <c r="J94" i="10"/>
  <c r="G94" i="10"/>
  <c r="F93" i="10"/>
  <c r="J93" i="10"/>
  <c r="G93" i="10"/>
  <c r="F92" i="10"/>
  <c r="J92" i="10"/>
  <c r="G92" i="10"/>
  <c r="F91" i="10"/>
  <c r="J91" i="10"/>
  <c r="G91" i="10"/>
  <c r="F90" i="10"/>
  <c r="J90" i="10"/>
  <c r="G90" i="10"/>
  <c r="F89" i="10"/>
  <c r="J89" i="10"/>
  <c r="G89" i="10"/>
  <c r="D84" i="10"/>
  <c r="F83" i="10"/>
  <c r="J83" i="10"/>
  <c r="D74" i="10"/>
  <c r="G83" i="10"/>
  <c r="F82" i="10"/>
  <c r="J82" i="10"/>
  <c r="G82" i="10"/>
  <c r="F81" i="10"/>
  <c r="J81" i="10"/>
  <c r="G81" i="10"/>
  <c r="F80" i="10"/>
  <c r="J80" i="10"/>
  <c r="G80" i="10"/>
  <c r="F79" i="10"/>
  <c r="J79" i="10"/>
  <c r="G79" i="10"/>
  <c r="F78" i="10"/>
  <c r="J78" i="10"/>
  <c r="G78" i="10"/>
  <c r="F77" i="10"/>
  <c r="J77" i="10"/>
  <c r="G77" i="10"/>
  <c r="F76" i="10"/>
  <c r="J76" i="10"/>
  <c r="G76" i="10"/>
  <c r="D71" i="10"/>
  <c r="F70" i="10"/>
  <c r="J70" i="10"/>
  <c r="D61" i="10"/>
  <c r="G70" i="10"/>
  <c r="F69" i="10"/>
  <c r="J69" i="10"/>
  <c r="G69" i="10"/>
  <c r="F68" i="10"/>
  <c r="J68" i="10"/>
  <c r="G68" i="10"/>
  <c r="F67" i="10"/>
  <c r="J67" i="10"/>
  <c r="G67" i="10"/>
  <c r="F66" i="10"/>
  <c r="J66" i="10"/>
  <c r="G66" i="10"/>
  <c r="F65" i="10"/>
  <c r="J65" i="10"/>
  <c r="G65" i="10"/>
  <c r="F64" i="10"/>
  <c r="J64" i="10"/>
  <c r="G64" i="10"/>
  <c r="F63" i="10"/>
  <c r="J63" i="10"/>
  <c r="G63" i="10"/>
  <c r="O58" i="10"/>
  <c r="D58" i="10"/>
  <c r="Q57" i="10"/>
  <c r="U57" i="10"/>
  <c r="O48" i="10"/>
  <c r="R57" i="10"/>
  <c r="F57" i="10"/>
  <c r="J57" i="10"/>
  <c r="D48" i="10"/>
  <c r="G57" i="10"/>
  <c r="Q56" i="10"/>
  <c r="U56" i="10"/>
  <c r="R56" i="10"/>
  <c r="F56" i="10"/>
  <c r="J56" i="10"/>
  <c r="G56" i="10"/>
  <c r="Q55" i="10"/>
  <c r="U55" i="10"/>
  <c r="R55" i="10"/>
  <c r="F55" i="10"/>
  <c r="J55" i="10"/>
  <c r="G55" i="10"/>
  <c r="Q54" i="10"/>
  <c r="U54" i="10"/>
  <c r="R54" i="10"/>
  <c r="F54" i="10"/>
  <c r="J54" i="10"/>
  <c r="G54" i="10"/>
  <c r="Q53" i="10"/>
  <c r="U53" i="10"/>
  <c r="R53" i="10"/>
  <c r="F53" i="10"/>
  <c r="J53" i="10"/>
  <c r="G53" i="10"/>
  <c r="Q52" i="10"/>
  <c r="U52" i="10"/>
  <c r="R52" i="10"/>
  <c r="F52" i="10"/>
  <c r="J52" i="10"/>
  <c r="G52" i="10"/>
  <c r="Q51" i="10"/>
  <c r="U51" i="10"/>
  <c r="R51" i="10"/>
  <c r="F51" i="10"/>
  <c r="J51" i="10"/>
  <c r="G51" i="10"/>
  <c r="Q50" i="10"/>
  <c r="U50" i="10"/>
  <c r="R50" i="10"/>
  <c r="F50" i="10"/>
  <c r="J50" i="10"/>
  <c r="G50" i="10"/>
  <c r="O45" i="10"/>
  <c r="D45" i="10"/>
  <c r="Q44" i="10"/>
  <c r="U44" i="10"/>
  <c r="O35" i="10"/>
  <c r="R44" i="10"/>
  <c r="F44" i="10"/>
  <c r="J44" i="10"/>
  <c r="D35" i="10"/>
  <c r="G44" i="10"/>
  <c r="Q43" i="10"/>
  <c r="U43" i="10"/>
  <c r="R43" i="10"/>
  <c r="F43" i="10"/>
  <c r="J43" i="10"/>
  <c r="G43" i="10"/>
  <c r="Q42" i="10"/>
  <c r="U42" i="10"/>
  <c r="R42" i="10"/>
  <c r="F42" i="10"/>
  <c r="J42" i="10"/>
  <c r="G42" i="10"/>
  <c r="Q41" i="10"/>
  <c r="U41" i="10"/>
  <c r="R41" i="10"/>
  <c r="F41" i="10"/>
  <c r="J41" i="10"/>
  <c r="G41" i="10"/>
  <c r="Q40" i="10"/>
  <c r="U40" i="10"/>
  <c r="R40" i="10"/>
  <c r="F40" i="10"/>
  <c r="J40" i="10"/>
  <c r="G40" i="10"/>
  <c r="Q39" i="10"/>
  <c r="U39" i="10"/>
  <c r="R39" i="10"/>
  <c r="F39" i="10"/>
  <c r="J39" i="10"/>
  <c r="G39" i="10"/>
  <c r="Q38" i="10"/>
  <c r="U38" i="10"/>
  <c r="R38" i="10"/>
  <c r="F38" i="10"/>
  <c r="J38" i="10"/>
  <c r="G38" i="10"/>
  <c r="Q37" i="10"/>
  <c r="U37" i="10"/>
  <c r="R37" i="10"/>
  <c r="F37" i="10"/>
  <c r="J37" i="10"/>
  <c r="G37" i="10"/>
  <c r="O32" i="10"/>
  <c r="D32" i="10"/>
  <c r="Q31" i="10"/>
  <c r="U31" i="10"/>
  <c r="O22" i="10"/>
  <c r="R31" i="10"/>
  <c r="F31" i="10"/>
  <c r="J31" i="10"/>
  <c r="G31" i="10"/>
  <c r="Q30" i="10"/>
  <c r="U30" i="10"/>
  <c r="R30" i="10"/>
  <c r="F30" i="10"/>
  <c r="J30" i="10"/>
  <c r="G30" i="10"/>
  <c r="Q29" i="10"/>
  <c r="U29" i="10"/>
  <c r="R29" i="10"/>
  <c r="F29" i="10"/>
  <c r="J29" i="10"/>
  <c r="G29" i="10"/>
  <c r="Q28" i="10"/>
  <c r="U28" i="10"/>
  <c r="R28" i="10"/>
  <c r="F28" i="10"/>
  <c r="J28" i="10"/>
  <c r="G28" i="10"/>
  <c r="Q27" i="10"/>
  <c r="U27" i="10"/>
  <c r="R27" i="10"/>
  <c r="F27" i="10"/>
  <c r="J27" i="10"/>
  <c r="G27" i="10"/>
  <c r="Q26" i="10"/>
  <c r="U26" i="10"/>
  <c r="R26" i="10"/>
  <c r="F26" i="10"/>
  <c r="J26" i="10"/>
  <c r="G26" i="10"/>
  <c r="Q25" i="10"/>
  <c r="U25" i="10"/>
  <c r="R25" i="10"/>
  <c r="F25" i="10"/>
  <c r="J25" i="10"/>
  <c r="I25" i="10"/>
  <c r="G25" i="10"/>
  <c r="Q24" i="10"/>
  <c r="U24" i="10"/>
  <c r="R24" i="10"/>
  <c r="F24" i="10"/>
  <c r="J24" i="10"/>
  <c r="I24" i="10"/>
  <c r="G24" i="10"/>
  <c r="Z13" i="10"/>
  <c r="Y13" i="10"/>
  <c r="W13" i="10"/>
  <c r="V13" i="10"/>
  <c r="U13" i="10"/>
  <c r="T13" i="10"/>
  <c r="S13" i="10"/>
  <c r="R13" i="10"/>
  <c r="Q13" i="10"/>
  <c r="P13" i="10"/>
  <c r="O13" i="10"/>
  <c r="N13" i="10"/>
  <c r="L13" i="10"/>
  <c r="K13" i="10"/>
  <c r="Z12" i="10"/>
  <c r="Y12" i="10"/>
  <c r="W12" i="10"/>
  <c r="V12" i="10"/>
  <c r="U12" i="10"/>
  <c r="T12" i="10"/>
  <c r="S12" i="10"/>
  <c r="R12" i="10"/>
  <c r="Q12" i="10"/>
  <c r="P12" i="10"/>
  <c r="O12" i="10"/>
  <c r="N12" i="10"/>
  <c r="L12" i="10"/>
  <c r="K12" i="10"/>
  <c r="Y11" i="10"/>
  <c r="X11" i="10"/>
  <c r="W11" i="10"/>
  <c r="V11" i="10"/>
  <c r="U11" i="10"/>
  <c r="T11" i="10"/>
  <c r="S11" i="10"/>
  <c r="R11" i="10"/>
  <c r="Q11" i="10"/>
  <c r="P11" i="10"/>
  <c r="O11" i="10"/>
  <c r="M11" i="10"/>
  <c r="L11" i="10"/>
  <c r="K11" i="10"/>
  <c r="Y10" i="10"/>
  <c r="X10" i="10"/>
  <c r="W10" i="10"/>
  <c r="V10" i="10"/>
  <c r="U10" i="10"/>
  <c r="T10" i="10"/>
  <c r="S10" i="10"/>
  <c r="R10" i="10"/>
  <c r="Q10" i="10"/>
  <c r="P10" i="10"/>
  <c r="O10" i="10"/>
  <c r="M10" i="10"/>
  <c r="L10" i="10"/>
  <c r="K10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Z7" i="10"/>
  <c r="Y7" i="10"/>
  <c r="W7" i="10"/>
  <c r="V7" i="10"/>
  <c r="U7" i="10"/>
  <c r="T7" i="10"/>
  <c r="S7" i="10"/>
  <c r="R7" i="10"/>
  <c r="Q7" i="10"/>
  <c r="P7" i="10"/>
  <c r="O7" i="10"/>
  <c r="N7" i="10"/>
  <c r="L7" i="10"/>
  <c r="K7" i="10"/>
  <c r="Y6" i="10"/>
  <c r="X6" i="10"/>
  <c r="W6" i="10"/>
  <c r="V6" i="10"/>
  <c r="U6" i="10"/>
  <c r="T6" i="10"/>
  <c r="S6" i="10"/>
  <c r="R6" i="10"/>
  <c r="Q6" i="10"/>
  <c r="P6" i="10"/>
  <c r="O6" i="10"/>
  <c r="M6" i="10"/>
  <c r="L6" i="10"/>
  <c r="K6" i="10"/>
  <c r="H63" i="2"/>
  <c r="Z7" i="2"/>
  <c r="Z8" i="2"/>
  <c r="Z9" i="2"/>
  <c r="Z10" i="2"/>
  <c r="Z11" i="2"/>
  <c r="Z12" i="2"/>
  <c r="Z13" i="2"/>
  <c r="Z6" i="2"/>
  <c r="Y7" i="2"/>
  <c r="Y8" i="2"/>
  <c r="Y9" i="2"/>
  <c r="Y10" i="2"/>
  <c r="Y11" i="2"/>
  <c r="Y12" i="2"/>
  <c r="Y13" i="2"/>
  <c r="Y6" i="2"/>
  <c r="X7" i="2"/>
  <c r="X8" i="2"/>
  <c r="X9" i="2"/>
  <c r="X10" i="2"/>
  <c r="X11" i="2"/>
  <c r="X12" i="2"/>
  <c r="X13" i="2"/>
  <c r="X6" i="2"/>
  <c r="F18" i="2"/>
  <c r="F21" i="2"/>
  <c r="O48" i="2"/>
  <c r="O58" i="2"/>
  <c r="Q57" i="2"/>
  <c r="U57" i="2"/>
  <c r="S57" i="2"/>
  <c r="R57" i="2"/>
  <c r="Q56" i="2"/>
  <c r="U56" i="2"/>
  <c r="S56" i="2"/>
  <c r="R56" i="2"/>
  <c r="Q55" i="2"/>
  <c r="U55" i="2"/>
  <c r="S55" i="2"/>
  <c r="R55" i="2"/>
  <c r="Q54" i="2"/>
  <c r="U54" i="2"/>
  <c r="S54" i="2"/>
  <c r="R54" i="2"/>
  <c r="Q53" i="2"/>
  <c r="U53" i="2"/>
  <c r="S53" i="2"/>
  <c r="R53" i="2"/>
  <c r="Q52" i="2"/>
  <c r="U52" i="2"/>
  <c r="S52" i="2"/>
  <c r="R52" i="2"/>
  <c r="Q51" i="2"/>
  <c r="U51" i="2"/>
  <c r="S51" i="2"/>
  <c r="R51" i="2"/>
  <c r="Q50" i="2"/>
  <c r="U50" i="2"/>
  <c r="S50" i="2"/>
  <c r="R50" i="2"/>
  <c r="F17" i="2"/>
  <c r="F20" i="2"/>
  <c r="O35" i="2"/>
  <c r="O45" i="2"/>
  <c r="Q44" i="2"/>
  <c r="U44" i="2"/>
  <c r="S44" i="2"/>
  <c r="R44" i="2"/>
  <c r="Q43" i="2"/>
  <c r="U43" i="2"/>
  <c r="S43" i="2"/>
  <c r="R43" i="2"/>
  <c r="Q42" i="2"/>
  <c r="U42" i="2"/>
  <c r="S42" i="2"/>
  <c r="R42" i="2"/>
  <c r="Q41" i="2"/>
  <c r="U41" i="2"/>
  <c r="S41" i="2"/>
  <c r="R41" i="2"/>
  <c r="Q40" i="2"/>
  <c r="U40" i="2"/>
  <c r="S40" i="2"/>
  <c r="R40" i="2"/>
  <c r="Q39" i="2"/>
  <c r="U39" i="2"/>
  <c r="S39" i="2"/>
  <c r="R39" i="2"/>
  <c r="Q38" i="2"/>
  <c r="U38" i="2"/>
  <c r="S38" i="2"/>
  <c r="R38" i="2"/>
  <c r="Q37" i="2"/>
  <c r="U37" i="2"/>
  <c r="S37" i="2"/>
  <c r="R37" i="2"/>
  <c r="F16" i="2"/>
  <c r="F19" i="2"/>
  <c r="O22" i="2"/>
  <c r="O32" i="2"/>
  <c r="Q31" i="2"/>
  <c r="U31" i="2"/>
  <c r="S31" i="2"/>
  <c r="R31" i="2"/>
  <c r="Q30" i="2"/>
  <c r="U30" i="2"/>
  <c r="S30" i="2"/>
  <c r="R30" i="2"/>
  <c r="Q29" i="2"/>
  <c r="U29" i="2"/>
  <c r="S29" i="2"/>
  <c r="R29" i="2"/>
  <c r="Q28" i="2"/>
  <c r="U28" i="2"/>
  <c r="S28" i="2"/>
  <c r="R28" i="2"/>
  <c r="Q27" i="2"/>
  <c r="U27" i="2"/>
  <c r="S27" i="2"/>
  <c r="R27" i="2"/>
  <c r="Q26" i="2"/>
  <c r="U26" i="2"/>
  <c r="S26" i="2"/>
  <c r="R26" i="2"/>
  <c r="Q25" i="2"/>
  <c r="U25" i="2"/>
  <c r="S25" i="2"/>
  <c r="R25" i="2"/>
  <c r="Q24" i="2"/>
  <c r="U24" i="2"/>
  <c r="S24" i="2"/>
  <c r="R24" i="2"/>
  <c r="N21" i="9"/>
  <c r="N22" i="9"/>
  <c r="N23" i="9"/>
  <c r="N24" i="9"/>
  <c r="N25" i="9"/>
  <c r="N26" i="9"/>
  <c r="N27" i="9"/>
  <c r="N20" i="9"/>
  <c r="M21" i="9"/>
  <c r="M22" i="9"/>
  <c r="M23" i="9"/>
  <c r="M24" i="9"/>
  <c r="M25" i="9"/>
  <c r="M26" i="9"/>
  <c r="M27" i="9"/>
  <c r="M20" i="9"/>
  <c r="G38" i="9"/>
  <c r="C29" i="9"/>
  <c r="C39" i="9"/>
  <c r="E38" i="9"/>
  <c r="I38" i="9"/>
  <c r="F38" i="9"/>
  <c r="E37" i="9"/>
  <c r="I37" i="9"/>
  <c r="G37" i="9"/>
  <c r="F37" i="9"/>
  <c r="E36" i="9"/>
  <c r="I36" i="9"/>
  <c r="G36" i="9"/>
  <c r="F36" i="9"/>
  <c r="E35" i="9"/>
  <c r="I35" i="9"/>
  <c r="G35" i="9"/>
  <c r="F35" i="9"/>
  <c r="E34" i="9"/>
  <c r="I34" i="9"/>
  <c r="G34" i="9"/>
  <c r="F34" i="9"/>
  <c r="E33" i="9"/>
  <c r="I33" i="9"/>
  <c r="G33" i="9"/>
  <c r="F33" i="9"/>
  <c r="E32" i="9"/>
  <c r="I32" i="9"/>
  <c r="G32" i="9"/>
  <c r="H32" i="9"/>
  <c r="F32" i="9"/>
  <c r="E31" i="9"/>
  <c r="I31" i="9"/>
  <c r="G31" i="9"/>
  <c r="H31" i="9"/>
  <c r="F31" i="9"/>
  <c r="E18" i="9"/>
  <c r="C26" i="9"/>
  <c r="C16" i="9"/>
  <c r="E25" i="9"/>
  <c r="I25" i="9"/>
  <c r="G25" i="9"/>
  <c r="F25" i="9"/>
  <c r="E24" i="9"/>
  <c r="I24" i="9"/>
  <c r="G24" i="9"/>
  <c r="F24" i="9"/>
  <c r="E23" i="9"/>
  <c r="I23" i="9"/>
  <c r="G23" i="9"/>
  <c r="F23" i="9"/>
  <c r="E22" i="9"/>
  <c r="I22" i="9"/>
  <c r="G22" i="9"/>
  <c r="F22" i="9"/>
  <c r="E21" i="9"/>
  <c r="I21" i="9"/>
  <c r="G21" i="9"/>
  <c r="F21" i="9"/>
  <c r="E20" i="9"/>
  <c r="I20" i="9"/>
  <c r="G20" i="9"/>
  <c r="F20" i="9"/>
  <c r="E19" i="9"/>
  <c r="I19" i="9"/>
  <c r="G19" i="9"/>
  <c r="H19" i="9"/>
  <c r="F19" i="9"/>
  <c r="I18" i="9"/>
  <c r="G18" i="9"/>
  <c r="H18" i="9"/>
  <c r="F18" i="9"/>
  <c r="B13" i="9"/>
  <c r="A12" i="9"/>
  <c r="A5" i="9"/>
  <c r="B6" i="9"/>
  <c r="J37" i="2"/>
  <c r="J38" i="2"/>
  <c r="J39" i="2"/>
  <c r="J40" i="2"/>
  <c r="J41" i="2"/>
  <c r="J42" i="2"/>
  <c r="J43" i="2"/>
  <c r="J44" i="2"/>
  <c r="J50" i="2"/>
  <c r="J51" i="2"/>
  <c r="J52" i="2"/>
  <c r="J53" i="2"/>
  <c r="J54" i="2"/>
  <c r="J55" i="2"/>
  <c r="J56" i="2"/>
  <c r="J57" i="2"/>
  <c r="J63" i="2"/>
  <c r="J64" i="2"/>
  <c r="J65" i="2"/>
  <c r="J66" i="2"/>
  <c r="J67" i="2"/>
  <c r="J68" i="2"/>
  <c r="J69" i="2"/>
  <c r="J70" i="2"/>
  <c r="J76" i="2"/>
  <c r="J77" i="2"/>
  <c r="J78" i="2"/>
  <c r="J79" i="2"/>
  <c r="J80" i="2"/>
  <c r="J81" i="2"/>
  <c r="J82" i="2"/>
  <c r="J83" i="2"/>
  <c r="J89" i="2"/>
  <c r="J90" i="2"/>
  <c r="J91" i="2"/>
  <c r="J92" i="2"/>
  <c r="J93" i="2"/>
  <c r="J94" i="2"/>
  <c r="J95" i="2"/>
  <c r="J96" i="2"/>
  <c r="J102" i="2"/>
  <c r="J103" i="2"/>
  <c r="J104" i="2"/>
  <c r="J105" i="2"/>
  <c r="J106" i="2"/>
  <c r="J107" i="2"/>
  <c r="J108" i="2"/>
  <c r="J109" i="2"/>
  <c r="J115" i="2"/>
  <c r="J116" i="2"/>
  <c r="J117" i="2"/>
  <c r="J118" i="2"/>
  <c r="J119" i="2"/>
  <c r="J120" i="2"/>
  <c r="J121" i="2"/>
  <c r="J122" i="2"/>
  <c r="J128" i="2"/>
  <c r="J129" i="2"/>
  <c r="J130" i="2"/>
  <c r="J131" i="2"/>
  <c r="J132" i="2"/>
  <c r="J133" i="2"/>
  <c r="J134" i="2"/>
  <c r="J135" i="2"/>
  <c r="J141" i="2"/>
  <c r="J142" i="2"/>
  <c r="J143" i="2"/>
  <c r="J144" i="2"/>
  <c r="J145" i="2"/>
  <c r="J146" i="2"/>
  <c r="J147" i="2"/>
  <c r="J154" i="2"/>
  <c r="J155" i="2"/>
  <c r="J156" i="2"/>
  <c r="J157" i="2"/>
  <c r="J158" i="2"/>
  <c r="J159" i="2"/>
  <c r="J160" i="2"/>
  <c r="J161" i="2"/>
  <c r="J167" i="2"/>
  <c r="J168" i="2"/>
  <c r="J169" i="2"/>
  <c r="J170" i="2"/>
  <c r="J171" i="2"/>
  <c r="J172" i="2"/>
  <c r="J173" i="2"/>
  <c r="J174" i="2"/>
  <c r="J180" i="2"/>
  <c r="J181" i="2"/>
  <c r="J182" i="2"/>
  <c r="J183" i="2"/>
  <c r="J184" i="2"/>
  <c r="J185" i="2"/>
  <c r="J186" i="2"/>
  <c r="J187" i="2"/>
  <c r="J25" i="2"/>
  <c r="J26" i="2"/>
  <c r="J27" i="2"/>
  <c r="J28" i="2"/>
  <c r="J29" i="2"/>
  <c r="J30" i="2"/>
  <c r="J31" i="2"/>
  <c r="J24" i="2"/>
  <c r="F7" i="2"/>
  <c r="F8" i="2"/>
  <c r="D100" i="2"/>
  <c r="H107" i="2"/>
  <c r="M11" i="2"/>
  <c r="H106" i="2"/>
  <c r="M10" i="2"/>
  <c r="F24" i="2"/>
  <c r="F9" i="2"/>
  <c r="D178" i="2"/>
  <c r="H181" i="2"/>
  <c r="N7" i="2"/>
  <c r="H182" i="2"/>
  <c r="N8" i="2"/>
  <c r="H183" i="2"/>
  <c r="N9" i="2"/>
  <c r="H184" i="2"/>
  <c r="N10" i="2"/>
  <c r="H185" i="2"/>
  <c r="N11" i="2"/>
  <c r="H186" i="2"/>
  <c r="N12" i="2"/>
  <c r="H187" i="2"/>
  <c r="N13" i="2"/>
  <c r="H180" i="2"/>
  <c r="N6" i="2"/>
  <c r="F12" i="2"/>
  <c r="F14" i="2"/>
  <c r="D165" i="2"/>
  <c r="H168" i="2"/>
  <c r="S7" i="2"/>
  <c r="H169" i="2"/>
  <c r="S8" i="2"/>
  <c r="H170" i="2"/>
  <c r="S9" i="2"/>
  <c r="H171" i="2"/>
  <c r="S10" i="2"/>
  <c r="H172" i="2"/>
  <c r="S11" i="2"/>
  <c r="H173" i="2"/>
  <c r="S12" i="2"/>
  <c r="H174" i="2"/>
  <c r="S13" i="2"/>
  <c r="H167" i="2"/>
  <c r="S6" i="2"/>
  <c r="F13" i="2"/>
  <c r="F15" i="2"/>
  <c r="D152" i="2"/>
  <c r="H155" i="2"/>
  <c r="T7" i="2"/>
  <c r="H156" i="2"/>
  <c r="T8" i="2"/>
  <c r="H157" i="2"/>
  <c r="T9" i="2"/>
  <c r="H158" i="2"/>
  <c r="T10" i="2"/>
  <c r="H159" i="2"/>
  <c r="T11" i="2"/>
  <c r="H160" i="2"/>
  <c r="T12" i="2"/>
  <c r="H161" i="2"/>
  <c r="T13" i="2"/>
  <c r="H154" i="2"/>
  <c r="T6" i="2"/>
  <c r="F10" i="2"/>
  <c r="D139" i="2"/>
  <c r="H142" i="2"/>
  <c r="O7" i="2"/>
  <c r="H143" i="2"/>
  <c r="O8" i="2"/>
  <c r="H144" i="2"/>
  <c r="O9" i="2"/>
  <c r="H145" i="2"/>
  <c r="O10" i="2"/>
  <c r="H146" i="2"/>
  <c r="O11" i="2"/>
  <c r="H147" i="2"/>
  <c r="O12" i="2"/>
  <c r="H148" i="2"/>
  <c r="O13" i="2"/>
  <c r="H141" i="2"/>
  <c r="O6" i="2"/>
  <c r="F11" i="2"/>
  <c r="D126" i="2"/>
  <c r="H129" i="2"/>
  <c r="P7" i="2"/>
  <c r="H130" i="2"/>
  <c r="P8" i="2"/>
  <c r="H131" i="2"/>
  <c r="P9" i="2"/>
  <c r="H132" i="2"/>
  <c r="P10" i="2"/>
  <c r="H133" i="2"/>
  <c r="P11" i="2"/>
  <c r="H134" i="2"/>
  <c r="P12" i="2"/>
  <c r="H135" i="2"/>
  <c r="P13" i="2"/>
  <c r="H128" i="2"/>
  <c r="P6" i="2"/>
  <c r="D113" i="2"/>
  <c r="H116" i="2"/>
  <c r="U7" i="2"/>
  <c r="H117" i="2"/>
  <c r="U8" i="2"/>
  <c r="H118" i="2"/>
  <c r="U9" i="2"/>
  <c r="H119" i="2"/>
  <c r="U10" i="2"/>
  <c r="H120" i="2"/>
  <c r="U11" i="2"/>
  <c r="H121" i="2"/>
  <c r="U12" i="2"/>
  <c r="H122" i="2"/>
  <c r="U13" i="2"/>
  <c r="H115" i="2"/>
  <c r="U6" i="2"/>
  <c r="H103" i="2"/>
  <c r="M7" i="2"/>
  <c r="H104" i="2"/>
  <c r="M8" i="2"/>
  <c r="H105" i="2"/>
  <c r="M9" i="2"/>
  <c r="H108" i="2"/>
  <c r="M12" i="2"/>
  <c r="H109" i="2"/>
  <c r="M13" i="2"/>
  <c r="H102" i="2"/>
  <c r="M6" i="2"/>
  <c r="D87" i="2"/>
  <c r="H90" i="2"/>
  <c r="R7" i="2"/>
  <c r="H91" i="2"/>
  <c r="R8" i="2"/>
  <c r="H92" i="2"/>
  <c r="R9" i="2"/>
  <c r="H93" i="2"/>
  <c r="R10" i="2"/>
  <c r="H94" i="2"/>
  <c r="R11" i="2"/>
  <c r="H95" i="2"/>
  <c r="R12" i="2"/>
  <c r="H96" i="2"/>
  <c r="R13" i="2"/>
  <c r="H89" i="2"/>
  <c r="R6" i="2"/>
  <c r="F6" i="2"/>
  <c r="D74" i="2"/>
  <c r="H77" i="2"/>
  <c r="L7" i="2"/>
  <c r="H78" i="2"/>
  <c r="L8" i="2"/>
  <c r="H79" i="2"/>
  <c r="L9" i="2"/>
  <c r="H80" i="2"/>
  <c r="L10" i="2"/>
  <c r="H81" i="2"/>
  <c r="L11" i="2"/>
  <c r="H82" i="2"/>
  <c r="L12" i="2"/>
  <c r="H83" i="2"/>
  <c r="L13" i="2"/>
  <c r="H76" i="2"/>
  <c r="L6" i="2"/>
  <c r="D61" i="2"/>
  <c r="H64" i="2"/>
  <c r="Q7" i="2"/>
  <c r="H65" i="2"/>
  <c r="Q8" i="2"/>
  <c r="H66" i="2"/>
  <c r="Q9" i="2"/>
  <c r="H67" i="2"/>
  <c r="Q10" i="2"/>
  <c r="H68" i="2"/>
  <c r="Q11" i="2"/>
  <c r="H69" i="2"/>
  <c r="Q12" i="2"/>
  <c r="H70" i="2"/>
  <c r="Q13" i="2"/>
  <c r="Q6" i="2"/>
  <c r="D48" i="2"/>
  <c r="H51" i="2"/>
  <c r="V7" i="2"/>
  <c r="H52" i="2"/>
  <c r="V8" i="2"/>
  <c r="H53" i="2"/>
  <c r="V9" i="2"/>
  <c r="H54" i="2"/>
  <c r="V10" i="2"/>
  <c r="H55" i="2"/>
  <c r="V11" i="2"/>
  <c r="H56" i="2"/>
  <c r="V12" i="2"/>
  <c r="H57" i="2"/>
  <c r="V13" i="2"/>
  <c r="H50" i="2"/>
  <c r="V6" i="2"/>
  <c r="D35" i="2"/>
  <c r="H38" i="2"/>
  <c r="W7" i="2"/>
  <c r="H39" i="2"/>
  <c r="W8" i="2"/>
  <c r="H40" i="2"/>
  <c r="W9" i="2"/>
  <c r="H41" i="2"/>
  <c r="W10" i="2"/>
  <c r="H42" i="2"/>
  <c r="W11" i="2"/>
  <c r="H43" i="2"/>
  <c r="W12" i="2"/>
  <c r="H44" i="2"/>
  <c r="W13" i="2"/>
  <c r="H37" i="2"/>
  <c r="W6" i="2"/>
  <c r="D22" i="2"/>
  <c r="H31" i="2"/>
  <c r="K13" i="2"/>
  <c r="H30" i="2"/>
  <c r="K12" i="2"/>
  <c r="H29" i="2"/>
  <c r="K11" i="2"/>
  <c r="H28" i="2"/>
  <c r="K10" i="2"/>
  <c r="H27" i="2"/>
  <c r="K9" i="2"/>
  <c r="H26" i="2"/>
  <c r="K8" i="2"/>
  <c r="H25" i="2"/>
  <c r="K7" i="2"/>
  <c r="K6" i="2"/>
  <c r="D188" i="2"/>
  <c r="F187" i="2"/>
  <c r="G187" i="2"/>
  <c r="F186" i="2"/>
  <c r="G186" i="2"/>
  <c r="F185" i="2"/>
  <c r="G185" i="2"/>
  <c r="F184" i="2"/>
  <c r="G184" i="2"/>
  <c r="F183" i="2"/>
  <c r="G183" i="2"/>
  <c r="F182" i="2"/>
  <c r="G182" i="2"/>
  <c r="F181" i="2"/>
  <c r="G181" i="2"/>
  <c r="F180" i="2"/>
  <c r="G180" i="2"/>
  <c r="D175" i="2"/>
  <c r="F174" i="2"/>
  <c r="G174" i="2"/>
  <c r="F173" i="2"/>
  <c r="G173" i="2"/>
  <c r="F172" i="2"/>
  <c r="G172" i="2"/>
  <c r="F171" i="2"/>
  <c r="G171" i="2"/>
  <c r="F170" i="2"/>
  <c r="G170" i="2"/>
  <c r="F169" i="2"/>
  <c r="G169" i="2"/>
  <c r="F168" i="2"/>
  <c r="G168" i="2"/>
  <c r="F167" i="2"/>
  <c r="G167" i="2"/>
  <c r="D162" i="2"/>
  <c r="F161" i="2"/>
  <c r="G161" i="2"/>
  <c r="F160" i="2"/>
  <c r="G160" i="2"/>
  <c r="F159" i="2"/>
  <c r="G159" i="2"/>
  <c r="F158" i="2"/>
  <c r="G158" i="2"/>
  <c r="F157" i="2"/>
  <c r="G157" i="2"/>
  <c r="F156" i="2"/>
  <c r="G156" i="2"/>
  <c r="F155" i="2"/>
  <c r="G155" i="2"/>
  <c r="F154" i="2"/>
  <c r="G154" i="2"/>
  <c r="D149" i="2"/>
  <c r="F148" i="2"/>
  <c r="G148" i="2"/>
  <c r="F147" i="2"/>
  <c r="G147" i="2"/>
  <c r="F146" i="2"/>
  <c r="G146" i="2"/>
  <c r="F145" i="2"/>
  <c r="G145" i="2"/>
  <c r="F144" i="2"/>
  <c r="G144" i="2"/>
  <c r="F143" i="2"/>
  <c r="G143" i="2"/>
  <c r="F142" i="2"/>
  <c r="G142" i="2"/>
  <c r="F141" i="2"/>
  <c r="G141" i="2"/>
  <c r="D136" i="2"/>
  <c r="F135" i="2"/>
  <c r="G135" i="2"/>
  <c r="F134" i="2"/>
  <c r="G134" i="2"/>
  <c r="F133" i="2"/>
  <c r="G133" i="2"/>
  <c r="F132" i="2"/>
  <c r="G132" i="2"/>
  <c r="F131" i="2"/>
  <c r="G131" i="2"/>
  <c r="F130" i="2"/>
  <c r="G130" i="2"/>
  <c r="F129" i="2"/>
  <c r="G129" i="2"/>
  <c r="F128" i="2"/>
  <c r="G128" i="2"/>
  <c r="D123" i="2"/>
  <c r="F122" i="2"/>
  <c r="G122" i="2"/>
  <c r="F121" i="2"/>
  <c r="G121" i="2"/>
  <c r="F120" i="2"/>
  <c r="G120" i="2"/>
  <c r="F119" i="2"/>
  <c r="G119" i="2"/>
  <c r="F118" i="2"/>
  <c r="G118" i="2"/>
  <c r="F117" i="2"/>
  <c r="G117" i="2"/>
  <c r="F116" i="2"/>
  <c r="G116" i="2"/>
  <c r="F115" i="2"/>
  <c r="G115" i="2"/>
  <c r="D110" i="2"/>
  <c r="F109" i="2"/>
  <c r="G109" i="2"/>
  <c r="F108" i="2"/>
  <c r="G108" i="2"/>
  <c r="F107" i="2"/>
  <c r="G107" i="2"/>
  <c r="F106" i="2"/>
  <c r="G106" i="2"/>
  <c r="F105" i="2"/>
  <c r="G105" i="2"/>
  <c r="F104" i="2"/>
  <c r="G104" i="2"/>
  <c r="F103" i="2"/>
  <c r="G103" i="2"/>
  <c r="F102" i="2"/>
  <c r="G102" i="2"/>
  <c r="D97" i="2"/>
  <c r="F96" i="2"/>
  <c r="G96" i="2"/>
  <c r="F95" i="2"/>
  <c r="G95" i="2"/>
  <c r="F94" i="2"/>
  <c r="G94" i="2"/>
  <c r="F93" i="2"/>
  <c r="G93" i="2"/>
  <c r="F92" i="2"/>
  <c r="G92" i="2"/>
  <c r="F91" i="2"/>
  <c r="G91" i="2"/>
  <c r="F90" i="2"/>
  <c r="G90" i="2"/>
  <c r="F89" i="2"/>
  <c r="G89" i="2"/>
  <c r="D84" i="2"/>
  <c r="F83" i="2"/>
  <c r="G83" i="2"/>
  <c r="F82" i="2"/>
  <c r="G82" i="2"/>
  <c r="F81" i="2"/>
  <c r="G81" i="2"/>
  <c r="F80" i="2"/>
  <c r="G80" i="2"/>
  <c r="F79" i="2"/>
  <c r="G79" i="2"/>
  <c r="F78" i="2"/>
  <c r="G78" i="2"/>
  <c r="F77" i="2"/>
  <c r="G77" i="2"/>
  <c r="F76" i="2"/>
  <c r="G76" i="2"/>
  <c r="D71" i="2"/>
  <c r="F70" i="2"/>
  <c r="G70" i="2"/>
  <c r="F69" i="2"/>
  <c r="G69" i="2"/>
  <c r="F68" i="2"/>
  <c r="G68" i="2"/>
  <c r="F67" i="2"/>
  <c r="G67" i="2"/>
  <c r="F66" i="2"/>
  <c r="G66" i="2"/>
  <c r="F65" i="2"/>
  <c r="G65" i="2"/>
  <c r="F64" i="2"/>
  <c r="G64" i="2"/>
  <c r="F63" i="2"/>
  <c r="G63" i="2"/>
  <c r="I25" i="2"/>
  <c r="I24" i="2"/>
  <c r="D58" i="2"/>
  <c r="F57" i="2"/>
  <c r="G57" i="2"/>
  <c r="F56" i="2"/>
  <c r="G56" i="2"/>
  <c r="F55" i="2"/>
  <c r="G55" i="2"/>
  <c r="F54" i="2"/>
  <c r="G54" i="2"/>
  <c r="F53" i="2"/>
  <c r="G53" i="2"/>
  <c r="F52" i="2"/>
  <c r="G52" i="2"/>
  <c r="F51" i="2"/>
  <c r="G51" i="2"/>
  <c r="F50" i="2"/>
  <c r="G50" i="2"/>
  <c r="D45" i="2"/>
  <c r="F44" i="2"/>
  <c r="G44" i="2"/>
  <c r="F43" i="2"/>
  <c r="G43" i="2"/>
  <c r="F42" i="2"/>
  <c r="G42" i="2"/>
  <c r="F41" i="2"/>
  <c r="G41" i="2"/>
  <c r="F40" i="2"/>
  <c r="G40" i="2"/>
  <c r="F39" i="2"/>
  <c r="G39" i="2"/>
  <c r="F38" i="2"/>
  <c r="G38" i="2"/>
  <c r="F37" i="2"/>
  <c r="G37" i="2"/>
  <c r="G24" i="2"/>
  <c r="G25" i="2"/>
  <c r="G26" i="2"/>
  <c r="G27" i="2"/>
  <c r="G28" i="2"/>
  <c r="G29" i="2"/>
  <c r="G30" i="2"/>
  <c r="G31" i="2"/>
  <c r="F31" i="2"/>
  <c r="F30" i="2"/>
  <c r="F29" i="2"/>
  <c r="F28" i="2"/>
  <c r="F27" i="2"/>
  <c r="F26" i="2"/>
  <c r="F25" i="2"/>
  <c r="D32" i="2"/>
  <c r="D2" i="6"/>
  <c r="E27" i="6"/>
  <c r="D27" i="6"/>
  <c r="C27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3" i="6"/>
</calcChain>
</file>

<file path=xl/sharedStrings.xml><?xml version="1.0" encoding="utf-8"?>
<sst xmlns="http://schemas.openxmlformats.org/spreadsheetml/2006/main" count="911" uniqueCount="123">
  <si>
    <t>NIP</t>
  </si>
  <si>
    <t>envyus</t>
  </si>
  <si>
    <t>g2</t>
  </si>
  <si>
    <t>natus vincere</t>
  </si>
  <si>
    <t>north</t>
  </si>
  <si>
    <t>astralys</t>
  </si>
  <si>
    <t>virtus pro</t>
  </si>
  <si>
    <t>fnatic</t>
  </si>
  <si>
    <t>cloud 9</t>
  </si>
  <si>
    <t>Hellraiser</t>
  </si>
  <si>
    <t xml:space="preserve">Faze </t>
  </si>
  <si>
    <t>Optic</t>
  </si>
  <si>
    <t>Immortals</t>
  </si>
  <si>
    <t>G2</t>
  </si>
  <si>
    <t>W</t>
  </si>
  <si>
    <t>L</t>
  </si>
  <si>
    <t>variable</t>
  </si>
  <si>
    <t xml:space="preserve">draw </t>
  </si>
  <si>
    <t>lost</t>
  </si>
  <si>
    <t>win</t>
  </si>
  <si>
    <t>total game played</t>
  </si>
  <si>
    <t>rounds played</t>
  </si>
  <si>
    <t>each player game played</t>
  </si>
  <si>
    <t>total kills</t>
  </si>
  <si>
    <t>total death</t>
  </si>
  <si>
    <t>kda</t>
  </si>
  <si>
    <t>승률</t>
  </si>
  <si>
    <t>T</t>
  </si>
  <si>
    <t>CO</t>
  </si>
  <si>
    <t>I</t>
  </si>
  <si>
    <t>N</t>
  </si>
  <si>
    <t>CA</t>
  </si>
  <si>
    <t>O</t>
  </si>
  <si>
    <t>M</t>
  </si>
  <si>
    <t>C</t>
  </si>
  <si>
    <t>D</t>
  </si>
  <si>
    <t xml:space="preserve">NIP MAP </t>
  </si>
  <si>
    <t>G2 MAP</t>
  </si>
  <si>
    <t>line up</t>
  </si>
  <si>
    <t>min 4</t>
  </si>
  <si>
    <t>w</t>
  </si>
  <si>
    <t>l</t>
  </si>
  <si>
    <t>win rate</t>
  </si>
  <si>
    <t>name</t>
  </si>
  <si>
    <t>winrate</t>
  </si>
  <si>
    <t>line up min 4</t>
  </si>
  <si>
    <t>2017 grade</t>
  </si>
  <si>
    <t>maps</t>
  </si>
  <si>
    <t>game played</t>
  </si>
  <si>
    <t>total</t>
  </si>
  <si>
    <t>reliability</t>
  </si>
  <si>
    <t>Nip</t>
  </si>
  <si>
    <t>note</t>
  </si>
  <si>
    <t>If the team has low wining rate obv gonna have low rate in each maps</t>
  </si>
  <si>
    <t>my calculation</t>
  </si>
  <si>
    <t>(2)my calculation</t>
  </si>
  <si>
    <t>arstrails</t>
  </si>
  <si>
    <t>same map winrate where should I bet?</t>
  </si>
  <si>
    <t>same team winrate where should I bet?</t>
  </si>
  <si>
    <t>ans team with higher winrate</t>
  </si>
  <si>
    <t>tema with higher map winrate</t>
  </si>
  <si>
    <t>conclusion</t>
  </si>
  <si>
    <t>my calculation has a problem need another calculation</t>
  </si>
  <si>
    <t>immortals</t>
  </si>
  <si>
    <t>ex: team a with 0 percent winrate on dust 2 vs team with 100percen winrate on dust 2 who to pick?</t>
  </si>
  <si>
    <t>what should we consider to do the simple calculation</t>
  </si>
  <si>
    <t xml:space="preserve">map winrate with 100 percent </t>
  </si>
  <si>
    <t>map &gt;&gt;&gt; team winrate</t>
  </si>
  <si>
    <t>Faze</t>
  </si>
  <si>
    <t>North</t>
  </si>
  <si>
    <t>Hell raiser</t>
  </si>
  <si>
    <t>optic</t>
  </si>
  <si>
    <t xml:space="preserve">T </t>
  </si>
  <si>
    <t xml:space="preserve">G2 </t>
  </si>
  <si>
    <t>Ca</t>
  </si>
  <si>
    <t>Virtus pro</t>
  </si>
  <si>
    <t>Hellraiswer</t>
  </si>
  <si>
    <t>Envyus</t>
  </si>
  <si>
    <t>Fnatic</t>
  </si>
  <si>
    <t>Co</t>
  </si>
  <si>
    <t xml:space="preserve">Ca </t>
  </si>
  <si>
    <t>C9</t>
  </si>
  <si>
    <t>Astralys</t>
  </si>
  <si>
    <t>Natus Vincere</t>
  </si>
  <si>
    <t>Immortal</t>
  </si>
  <si>
    <t xml:space="preserve"> W</t>
  </si>
  <si>
    <t>tengri</t>
  </si>
  <si>
    <t>cache</t>
  </si>
  <si>
    <t>overpass</t>
  </si>
  <si>
    <t>mirage</t>
  </si>
  <si>
    <t>vega squardron</t>
  </si>
  <si>
    <t>vega</t>
  </si>
  <si>
    <t>16-19</t>
  </si>
  <si>
    <t>clg</t>
  </si>
  <si>
    <t>sk</t>
  </si>
  <si>
    <t>luminosity</t>
  </si>
  <si>
    <t>SK</t>
  </si>
  <si>
    <t>lminosity</t>
  </si>
  <si>
    <t>c9 winning rate</t>
  </si>
  <si>
    <t>c9 vs immortal</t>
  </si>
  <si>
    <t>betting rate</t>
  </si>
  <si>
    <t>bet amount</t>
  </si>
  <si>
    <t>Amount</t>
  </si>
  <si>
    <t>bet result</t>
  </si>
  <si>
    <t>Lost</t>
  </si>
  <si>
    <t>amount left</t>
  </si>
  <si>
    <t>clg vs luminosity</t>
  </si>
  <si>
    <t>clg winning rate</t>
  </si>
  <si>
    <t>small</t>
  </si>
  <si>
    <t>mid</t>
  </si>
  <si>
    <t>big</t>
  </si>
  <si>
    <t xml:space="preserve">역으로 걸때 </t>
  </si>
  <si>
    <t xml:space="preserve">lesson learnt </t>
  </si>
  <si>
    <t>no more bet than 5% for c9 or us team in general</t>
  </si>
  <si>
    <t>earned amout</t>
  </si>
  <si>
    <t>c9 vs clg</t>
  </si>
  <si>
    <t>betamount</t>
  </si>
  <si>
    <t>earned amount</t>
  </si>
  <si>
    <t xml:space="preserve">bet amount </t>
  </si>
  <si>
    <t>c9 vs Immortal</t>
  </si>
  <si>
    <t>Immortal will iwn</t>
  </si>
  <si>
    <t>winning rate + 60% betting rate &lt; + 0%</t>
  </si>
  <si>
    <t>winning rate 50% ~ 60% betting rate &lt; + 3%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</si>
</sst>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4" borderId="0" xfId="0" applyFont="1" applyFill="1"/>
    <xf numFmtId="16" fontId="0" fillId="0" borderId="0" xfId="0" applyNumberFormat="1"/>
    <xf numFmtId="9" fontId="0" fillId="0" borderId="0" xfId="0" applyNumberFormat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styles" Target="styles.xml"/><Relationship Id="rId12" Type="http://schemas.openxmlformats.org/officeDocument/2006/relationships/sharedStrings" Target="sharedStrings.xml"/><Relationship Id="rId13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showRuler="0" workbookViewId="0">
      <selection activeCell="B9" sqref="B9"/>
    </sheetView>
  </sheetViews>
  <sheetFormatPr baseColWidth="10" defaultRowHeight="16" x14ac:dyDescent="0.2"/>
  <sheetData>
    <row r="1" spans="1:4" x14ac:dyDescent="0.2">
      <c r="A1" t="s">
        <v>16</v>
      </c>
      <c r="B1" t="s">
        <v>19</v>
      </c>
      <c r="C1" t="s">
        <v>17</v>
      </c>
      <c r="D1" t="s">
        <v>18</v>
      </c>
    </row>
    <row r="2" spans="1:4" x14ac:dyDescent="0.2">
      <c r="B2" t="s">
        <v>20</v>
      </c>
    </row>
    <row r="3" spans="1:4" x14ac:dyDescent="0.2">
      <c r="B3" t="s">
        <v>21</v>
      </c>
    </row>
    <row r="4" spans="1:4" x14ac:dyDescent="0.2">
      <c r="B4" t="s">
        <v>22</v>
      </c>
    </row>
    <row r="5" spans="1:4" x14ac:dyDescent="0.2">
      <c r="B5" t="s">
        <v>23</v>
      </c>
    </row>
    <row r="6" spans="1:4" x14ac:dyDescent="0.2">
      <c r="B6" t="s">
        <v>24</v>
      </c>
    </row>
    <row r="7" spans="1:4" x14ac:dyDescent="0.2">
      <c r="B7" t="s">
        <v>21</v>
      </c>
    </row>
    <row r="8" spans="1:4" x14ac:dyDescent="0.2">
      <c r="B8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1"/>
  <sheetViews>
    <sheetView tabSelected="1" showRuler="0" topLeftCell="G1" zoomScale="89" workbookViewId="0">
      <selection activeCell="S15" sqref="S15"/>
    </sheetView>
  </sheetViews>
  <sheetFormatPr baseColWidth="10" defaultRowHeight="16" x14ac:dyDescent="0.2"/>
  <sheetData>
    <row r="1" spans="1:27" x14ac:dyDescent="0.2">
      <c r="C1" t="s">
        <v>38</v>
      </c>
      <c r="D1" t="s">
        <v>39</v>
      </c>
    </row>
    <row r="2" spans="1:27" x14ac:dyDescent="0.2">
      <c r="D2">
        <v>2017</v>
      </c>
    </row>
    <row r="5" spans="1:27" x14ac:dyDescent="0.2">
      <c r="A5" t="s">
        <v>44</v>
      </c>
      <c r="C5" t="s">
        <v>43</v>
      </c>
      <c r="D5" t="s">
        <v>40</v>
      </c>
      <c r="E5" t="s">
        <v>41</v>
      </c>
      <c r="F5" t="s">
        <v>42</v>
      </c>
      <c r="K5" s="3" t="s">
        <v>2</v>
      </c>
      <c r="L5" s="3" t="s">
        <v>5</v>
      </c>
      <c r="M5" s="3" t="s">
        <v>12</v>
      </c>
      <c r="N5" s="3" t="s">
        <v>8</v>
      </c>
      <c r="O5" s="3" t="s">
        <v>4</v>
      </c>
      <c r="P5" s="3" t="s">
        <v>10</v>
      </c>
      <c r="Q5" s="3" t="s">
        <v>7</v>
      </c>
      <c r="R5" s="3" t="s">
        <v>3</v>
      </c>
      <c r="S5" s="3" t="s">
        <v>9</v>
      </c>
      <c r="T5" s="3" t="s">
        <v>11</v>
      </c>
      <c r="U5" s="3" t="s">
        <v>6</v>
      </c>
      <c r="V5" s="3" t="s">
        <v>1</v>
      </c>
      <c r="W5" s="3" t="s">
        <v>0</v>
      </c>
      <c r="X5" s="3" t="s">
        <v>93</v>
      </c>
      <c r="Y5" s="3" t="s">
        <v>94</v>
      </c>
      <c r="Z5" s="3" t="s">
        <v>97</v>
      </c>
    </row>
    <row r="6" spans="1:27" x14ac:dyDescent="0.2">
      <c r="A6" t="s">
        <v>45</v>
      </c>
      <c r="B6">
        <v>4</v>
      </c>
      <c r="C6" s="3" t="s">
        <v>2</v>
      </c>
      <c r="D6">
        <v>63</v>
      </c>
      <c r="E6">
        <v>32</v>
      </c>
      <c r="F6">
        <f t="shared" ref="F6:F21" si="0">D6/(D6+E6)*100</f>
        <v>66.315789473684205</v>
      </c>
      <c r="J6" t="s">
        <v>31</v>
      </c>
      <c r="K6">
        <f t="shared" ref="K6:K13" si="1">H24</f>
        <v>1.0057936507936509</v>
      </c>
      <c r="L6" s="2">
        <f>H76</f>
        <v>0.75781250000000011</v>
      </c>
      <c r="M6" s="2">
        <f>H102</f>
        <v>0.92173913043478251</v>
      </c>
      <c r="N6">
        <f>H180</f>
        <v>1.2173</v>
      </c>
      <c r="O6">
        <f>H141</f>
        <v>0.84157894736842109</v>
      </c>
      <c r="P6">
        <f>H128</f>
        <v>0.93091935483870958</v>
      </c>
      <c r="Q6">
        <f>H63</f>
        <v>1.0902857142857143</v>
      </c>
      <c r="R6">
        <f>H89</f>
        <v>0</v>
      </c>
      <c r="S6">
        <f>H167</f>
        <v>1.029191489361702</v>
      </c>
      <c r="T6">
        <f>H154</f>
        <v>0.67308510638297869</v>
      </c>
      <c r="U6">
        <f>H115</f>
        <v>0.34054901960784317</v>
      </c>
      <c r="V6">
        <f>H50</f>
        <v>1.0232558139534884</v>
      </c>
      <c r="W6">
        <f>H37</f>
        <v>0.93333333333333335</v>
      </c>
      <c r="X6">
        <f>S24</f>
        <v>1.048306451612903</v>
      </c>
      <c r="Y6">
        <f>S37</f>
        <v>1.1064657534246576</v>
      </c>
      <c r="Z6">
        <f>S50</f>
        <v>0.98076923076923084</v>
      </c>
      <c r="AA6" t="s">
        <v>31</v>
      </c>
    </row>
    <row r="7" spans="1:27" x14ac:dyDescent="0.2">
      <c r="A7" t="s">
        <v>46</v>
      </c>
      <c r="B7">
        <v>1</v>
      </c>
      <c r="C7" s="3" t="s">
        <v>5</v>
      </c>
      <c r="D7">
        <v>64</v>
      </c>
      <c r="E7">
        <v>33</v>
      </c>
      <c r="F7">
        <f t="shared" si="0"/>
        <v>65.979381443298962</v>
      </c>
      <c r="J7" t="s">
        <v>28</v>
      </c>
      <c r="K7">
        <f t="shared" si="1"/>
        <v>1.2561111111111112</v>
      </c>
      <c r="L7" s="2">
        <f t="shared" ref="L7:L13" si="2">H77</f>
        <v>0.75781250000000011</v>
      </c>
      <c r="M7" s="2">
        <f t="shared" ref="M7:M13" si="3">H103</f>
        <v>1.009304347826087</v>
      </c>
      <c r="N7">
        <f t="shared" ref="N7:N13" si="4">H181</f>
        <v>0.99013333333333331</v>
      </c>
      <c r="O7">
        <f t="shared" ref="O7:O13" si="5">H142</f>
        <v>0.96157894736842109</v>
      </c>
      <c r="P7">
        <f t="shared" ref="P7:P13" si="6">H129</f>
        <v>0.79838709677419351</v>
      </c>
      <c r="Q7">
        <f t="shared" ref="Q7:Q13" si="7">H64</f>
        <v>0.8571428571428571</v>
      </c>
      <c r="R7">
        <f t="shared" ref="R7:R13" si="8">H90</f>
        <v>0.69102564102564101</v>
      </c>
      <c r="S7">
        <f t="shared" ref="S7:S13" si="9">H168</f>
        <v>0.57012765957446809</v>
      </c>
      <c r="T7">
        <f t="shared" ref="T7:T13" si="10">H155</f>
        <v>0.92574468085106376</v>
      </c>
      <c r="U7">
        <f t="shared" ref="U7:U13" si="11">H116</f>
        <v>1.3601568627450982</v>
      </c>
      <c r="V7">
        <f t="shared" ref="V7:V13" si="12">H51</f>
        <v>0.85339534883720936</v>
      </c>
      <c r="W7">
        <f t="shared" ref="W7:W13" si="13">H38</f>
        <v>1.1666666666666667</v>
      </c>
      <c r="X7">
        <f t="shared" ref="X7:X13" si="14">S25</f>
        <v>1.0161290322580645</v>
      </c>
      <c r="Y7">
        <f t="shared" ref="Y7:Y13" si="15">S38</f>
        <v>1.2226301369863015</v>
      </c>
      <c r="Z7">
        <f t="shared" ref="Z7:Z13" si="16">S51</f>
        <v>0.98076923076923084</v>
      </c>
      <c r="AA7" t="s">
        <v>28</v>
      </c>
    </row>
    <row r="8" spans="1:27" x14ac:dyDescent="0.2">
      <c r="C8" s="3" t="s">
        <v>12</v>
      </c>
      <c r="D8">
        <v>69</v>
      </c>
      <c r="E8">
        <v>37</v>
      </c>
      <c r="F8">
        <f t="shared" si="0"/>
        <v>65.094339622641513</v>
      </c>
      <c r="J8" t="s">
        <v>35</v>
      </c>
      <c r="K8" s="4">
        <f t="shared" si="1"/>
        <v>1.5079365079365081</v>
      </c>
      <c r="L8" s="2">
        <f t="shared" si="2"/>
        <v>0.75781250000000011</v>
      </c>
      <c r="M8" s="4">
        <f t="shared" si="3"/>
        <v>1.536231884057971</v>
      </c>
      <c r="N8">
        <f t="shared" si="4"/>
        <v>0</v>
      </c>
      <c r="O8">
        <f t="shared" si="5"/>
        <v>0</v>
      </c>
      <c r="P8">
        <f t="shared" si="6"/>
        <v>0</v>
      </c>
      <c r="Q8">
        <f t="shared" si="7"/>
        <v>0</v>
      </c>
      <c r="R8">
        <f t="shared" si="8"/>
        <v>0.89743589743589747</v>
      </c>
      <c r="S8">
        <f t="shared" si="9"/>
        <v>0</v>
      </c>
      <c r="T8" s="4">
        <f t="shared" si="10"/>
        <v>2.021276595744681</v>
      </c>
      <c r="U8">
        <f t="shared" si="11"/>
        <v>0</v>
      </c>
      <c r="V8" s="4">
        <f t="shared" si="12"/>
        <v>1.6372093023255814</v>
      </c>
      <c r="W8">
        <f t="shared" si="13"/>
        <v>0</v>
      </c>
      <c r="X8" s="4">
        <f t="shared" si="14"/>
        <v>1.693548387096774</v>
      </c>
      <c r="Y8" s="4">
        <f t="shared" si="15"/>
        <v>0.72602739726027399</v>
      </c>
      <c r="Z8" s="4">
        <f t="shared" si="16"/>
        <v>1.4711538461538463</v>
      </c>
      <c r="AA8" t="s">
        <v>35</v>
      </c>
    </row>
    <row r="9" spans="1:27" x14ac:dyDescent="0.2">
      <c r="B9">
        <v>15</v>
      </c>
      <c r="C9" s="3" t="s">
        <v>8</v>
      </c>
      <c r="D9">
        <v>60</v>
      </c>
      <c r="E9">
        <v>34</v>
      </c>
      <c r="F9">
        <f t="shared" si="0"/>
        <v>63.829787234042556</v>
      </c>
      <c r="J9" t="s">
        <v>29</v>
      </c>
      <c r="K9">
        <f t="shared" si="1"/>
        <v>0.80373015873015874</v>
      </c>
      <c r="L9" s="2">
        <f t="shared" si="2"/>
        <v>1.0109218750000002</v>
      </c>
      <c r="M9" s="2">
        <f t="shared" si="3"/>
        <v>1.1322028985507246</v>
      </c>
      <c r="N9">
        <f t="shared" si="4"/>
        <v>0.89456666666666662</v>
      </c>
      <c r="O9">
        <f t="shared" si="5"/>
        <v>0.78947368421052633</v>
      </c>
      <c r="P9">
        <f t="shared" si="6"/>
        <v>1.1049677419354837</v>
      </c>
      <c r="Q9">
        <f t="shared" si="7"/>
        <v>1.3337142857142856</v>
      </c>
      <c r="R9" s="4">
        <f t="shared" si="8"/>
        <v>1.4951282051282051</v>
      </c>
      <c r="S9" s="4">
        <f t="shared" si="9"/>
        <v>1.0569574468085106</v>
      </c>
      <c r="T9">
        <f t="shared" si="10"/>
        <v>0.75797872340425532</v>
      </c>
      <c r="U9">
        <f t="shared" si="11"/>
        <v>0.50980392156862753</v>
      </c>
      <c r="V9">
        <f t="shared" si="12"/>
        <v>0.68148837209302315</v>
      </c>
      <c r="W9">
        <f t="shared" si="13"/>
        <v>1.1666666666666667</v>
      </c>
      <c r="X9">
        <f t="shared" si="14"/>
        <v>0.18798387096774191</v>
      </c>
      <c r="Y9">
        <f t="shared" si="15"/>
        <v>0.78120547945205476</v>
      </c>
      <c r="Z9">
        <f t="shared" si="16"/>
        <v>0.87092307692307691</v>
      </c>
      <c r="AA9" t="s">
        <v>29</v>
      </c>
    </row>
    <row r="10" spans="1:27" x14ac:dyDescent="0.2">
      <c r="B10">
        <v>5</v>
      </c>
      <c r="C10" s="3" t="s">
        <v>4</v>
      </c>
      <c r="D10">
        <v>57</v>
      </c>
      <c r="E10">
        <v>33</v>
      </c>
      <c r="F10">
        <f t="shared" si="0"/>
        <v>63.333333333333329</v>
      </c>
      <c r="J10" t="s">
        <v>33</v>
      </c>
      <c r="K10">
        <f t="shared" si="1"/>
        <v>0</v>
      </c>
      <c r="L10" s="2">
        <f t="shared" si="2"/>
        <v>1.2397812500000001</v>
      </c>
      <c r="M10" s="2">
        <f t="shared" si="3"/>
        <v>1.0246666666666666</v>
      </c>
      <c r="N10">
        <f t="shared" si="4"/>
        <v>0.62666666666666659</v>
      </c>
      <c r="O10">
        <f t="shared" si="5"/>
        <v>1.1273684210526318</v>
      </c>
      <c r="P10">
        <f t="shared" si="6"/>
        <v>0.79838709677419351</v>
      </c>
      <c r="Q10">
        <f t="shared" si="7"/>
        <v>0.8571428571428571</v>
      </c>
      <c r="R10">
        <f t="shared" si="8"/>
        <v>1.0966666666666667</v>
      </c>
      <c r="S10">
        <f t="shared" si="9"/>
        <v>0.97921276595744677</v>
      </c>
      <c r="T10">
        <f t="shared" si="10"/>
        <v>1.3481914893617022</v>
      </c>
      <c r="U10">
        <f t="shared" si="11"/>
        <v>1.4029803921568629</v>
      </c>
      <c r="V10">
        <f t="shared" si="12"/>
        <v>0</v>
      </c>
      <c r="W10">
        <f t="shared" si="13"/>
        <v>0</v>
      </c>
      <c r="X10">
        <f t="shared" si="14"/>
        <v>1.048306451612903</v>
      </c>
      <c r="Y10">
        <f t="shared" si="15"/>
        <v>1.2342465753424658</v>
      </c>
      <c r="Z10">
        <f t="shared" si="16"/>
        <v>0.71399999999999997</v>
      </c>
      <c r="AA10" t="s">
        <v>33</v>
      </c>
    </row>
    <row r="11" spans="1:27" x14ac:dyDescent="0.2">
      <c r="B11">
        <v>2</v>
      </c>
      <c r="C11" s="3" t="s">
        <v>10</v>
      </c>
      <c r="D11">
        <v>62</v>
      </c>
      <c r="E11">
        <v>37</v>
      </c>
      <c r="F11">
        <f t="shared" si="0"/>
        <v>62.62626262626263</v>
      </c>
      <c r="J11" t="s">
        <v>30</v>
      </c>
      <c r="K11">
        <f t="shared" si="1"/>
        <v>1.2063492063492065</v>
      </c>
      <c r="L11" s="2">
        <f t="shared" si="2"/>
        <v>1.0109218750000002</v>
      </c>
      <c r="M11" s="2">
        <f t="shared" si="3"/>
        <v>0</v>
      </c>
      <c r="N11">
        <f t="shared" si="4"/>
        <v>0.89456666666666662</v>
      </c>
      <c r="O11">
        <f t="shared" si="5"/>
        <v>1.1052631578947369</v>
      </c>
      <c r="P11">
        <f t="shared" si="6"/>
        <v>1.2965806451612902</v>
      </c>
      <c r="Q11" s="4">
        <f t="shared" si="7"/>
        <v>1.7142857142857142</v>
      </c>
      <c r="R11">
        <f t="shared" si="8"/>
        <v>0.97820512820512817</v>
      </c>
      <c r="S11">
        <f t="shared" si="9"/>
        <v>0.92553191489361697</v>
      </c>
      <c r="T11">
        <f t="shared" si="10"/>
        <v>0.9196808510638298</v>
      </c>
      <c r="U11">
        <f t="shared" si="11"/>
        <v>1.0726274509803924</v>
      </c>
      <c r="V11">
        <f t="shared" si="12"/>
        <v>1.1378604651162789</v>
      </c>
      <c r="W11">
        <f t="shared" si="13"/>
        <v>0.77700000000000002</v>
      </c>
      <c r="X11" s="4">
        <f t="shared" si="14"/>
        <v>0</v>
      </c>
      <c r="Y11" s="4">
        <f t="shared" si="15"/>
        <v>0</v>
      </c>
      <c r="Z11" s="4">
        <f t="shared" si="16"/>
        <v>0.98076923076923084</v>
      </c>
      <c r="AA11" t="s">
        <v>30</v>
      </c>
    </row>
    <row r="12" spans="1:27" x14ac:dyDescent="0.2">
      <c r="C12" s="3" t="s">
        <v>7</v>
      </c>
      <c r="D12">
        <v>49</v>
      </c>
      <c r="E12">
        <v>35</v>
      </c>
      <c r="F12">
        <f t="shared" si="0"/>
        <v>58.333333333333336</v>
      </c>
      <c r="J12" t="s">
        <v>32</v>
      </c>
      <c r="K12">
        <f t="shared" si="1"/>
        <v>0.75396825396825407</v>
      </c>
      <c r="L12" s="2">
        <f t="shared" si="2"/>
        <v>1.2397812500000001</v>
      </c>
      <c r="M12" s="2">
        <f t="shared" si="3"/>
        <v>1.0968695652173914</v>
      </c>
      <c r="N12" s="4">
        <f t="shared" si="4"/>
        <v>1.175</v>
      </c>
      <c r="O12">
        <f t="shared" si="5"/>
        <v>1.1573684210526316</v>
      </c>
      <c r="P12">
        <f t="shared" si="6"/>
        <v>0.79838709677419351</v>
      </c>
      <c r="Q12">
        <f t="shared" si="7"/>
        <v>0.8571428571428571</v>
      </c>
      <c r="R12">
        <f t="shared" si="8"/>
        <v>0.97820512820512817</v>
      </c>
      <c r="S12">
        <f t="shared" si="9"/>
        <v>1.5419361702127659</v>
      </c>
      <c r="T12" s="4">
        <f t="shared" si="10"/>
        <v>1.0106382978723405</v>
      </c>
      <c r="U12">
        <f t="shared" si="11"/>
        <v>0.67905882352941183</v>
      </c>
      <c r="V12">
        <f t="shared" si="12"/>
        <v>0</v>
      </c>
      <c r="W12">
        <f t="shared" si="13"/>
        <v>0</v>
      </c>
      <c r="X12">
        <f t="shared" si="14"/>
        <v>1.0415322580645161</v>
      </c>
      <c r="Y12">
        <f t="shared" si="15"/>
        <v>0.96852054794520559</v>
      </c>
      <c r="Z12">
        <f t="shared" si="16"/>
        <v>1.0906153846153848</v>
      </c>
      <c r="AA12" t="s">
        <v>32</v>
      </c>
    </row>
    <row r="13" spans="1:27" x14ac:dyDescent="0.2">
      <c r="C13" s="3" t="s">
        <v>3</v>
      </c>
      <c r="D13">
        <v>39</v>
      </c>
      <c r="E13">
        <v>31</v>
      </c>
      <c r="F13">
        <f t="shared" si="0"/>
        <v>55.714285714285715</v>
      </c>
      <c r="J13" t="s">
        <v>27</v>
      </c>
      <c r="K13">
        <f t="shared" si="1"/>
        <v>0.88666666666666671</v>
      </c>
      <c r="L13" s="2">
        <f t="shared" si="2"/>
        <v>0.89573437500000008</v>
      </c>
      <c r="M13" s="2">
        <f t="shared" si="3"/>
        <v>0.51156521739130423</v>
      </c>
      <c r="N13">
        <f t="shared" si="4"/>
        <v>1.175</v>
      </c>
      <c r="O13">
        <f t="shared" si="5"/>
        <v>0</v>
      </c>
      <c r="P13">
        <f t="shared" si="6"/>
        <v>1.1305161290322578</v>
      </c>
      <c r="Q13">
        <f t="shared" si="7"/>
        <v>0.8571428571428571</v>
      </c>
      <c r="R13">
        <f t="shared" si="8"/>
        <v>1.4358974358974359</v>
      </c>
      <c r="S13">
        <f t="shared" si="9"/>
        <v>0.92553191489361697</v>
      </c>
      <c r="T13">
        <f t="shared" si="10"/>
        <v>1.0551063829787235</v>
      </c>
      <c r="U13">
        <f t="shared" si="11"/>
        <v>1.0726274509803924</v>
      </c>
      <c r="V13">
        <f t="shared" si="12"/>
        <v>1.1931162790697674</v>
      </c>
      <c r="W13">
        <f t="shared" si="13"/>
        <v>1.4350000000000001</v>
      </c>
      <c r="X13">
        <f t="shared" si="14"/>
        <v>1.1295967741935484</v>
      </c>
      <c r="Y13">
        <f t="shared" si="15"/>
        <v>0.59824657534246584</v>
      </c>
      <c r="Z13">
        <f t="shared" si="16"/>
        <v>1.1357307692307692</v>
      </c>
      <c r="AA13" t="s">
        <v>27</v>
      </c>
    </row>
    <row r="14" spans="1:27" x14ac:dyDescent="0.2">
      <c r="C14" s="3" t="s">
        <v>9</v>
      </c>
      <c r="D14">
        <v>47</v>
      </c>
      <c r="E14">
        <v>40</v>
      </c>
      <c r="F14">
        <f t="shared" si="0"/>
        <v>54.022988505747129</v>
      </c>
      <c r="L14" s="2"/>
      <c r="M14" s="2"/>
    </row>
    <row r="15" spans="1:27" x14ac:dyDescent="0.2">
      <c r="C15" s="3" t="s">
        <v>11</v>
      </c>
      <c r="D15">
        <v>47</v>
      </c>
      <c r="E15">
        <v>48</v>
      </c>
      <c r="F15">
        <f t="shared" si="0"/>
        <v>49.473684210526315</v>
      </c>
      <c r="L15" s="2"/>
      <c r="M15" s="2"/>
    </row>
    <row r="16" spans="1:27" x14ac:dyDescent="0.2">
      <c r="C16" s="3" t="s">
        <v>6</v>
      </c>
      <c r="D16">
        <v>51</v>
      </c>
      <c r="E16">
        <v>53</v>
      </c>
      <c r="F16">
        <f t="shared" si="0"/>
        <v>49.038461538461533</v>
      </c>
      <c r="L16" s="2"/>
      <c r="M16" s="2"/>
    </row>
    <row r="17" spans="2:21" x14ac:dyDescent="0.2">
      <c r="B17">
        <v>17</v>
      </c>
      <c r="C17" s="3" t="s">
        <v>1</v>
      </c>
      <c r="D17">
        <v>43</v>
      </c>
      <c r="E17">
        <v>45</v>
      </c>
      <c r="F17">
        <f t="shared" si="0"/>
        <v>48.863636363636367</v>
      </c>
      <c r="L17" s="2"/>
      <c r="M17" s="2"/>
    </row>
    <row r="18" spans="2:21" x14ac:dyDescent="0.2">
      <c r="B18">
        <v>16</v>
      </c>
      <c r="C18" s="3" t="s">
        <v>0</v>
      </c>
      <c r="D18">
        <v>30</v>
      </c>
      <c r="E18">
        <v>40</v>
      </c>
      <c r="F18">
        <f t="shared" si="0"/>
        <v>42.857142857142854</v>
      </c>
      <c r="L18" s="2"/>
      <c r="M18" s="2"/>
    </row>
    <row r="19" spans="2:21" x14ac:dyDescent="0.2">
      <c r="C19" s="3" t="s">
        <v>93</v>
      </c>
      <c r="D19">
        <v>62</v>
      </c>
      <c r="E19">
        <v>43</v>
      </c>
      <c r="F19">
        <f t="shared" si="0"/>
        <v>59.047619047619051</v>
      </c>
      <c r="L19" s="2"/>
      <c r="M19" s="2"/>
    </row>
    <row r="20" spans="2:21" x14ac:dyDescent="0.2">
      <c r="C20" s="3" t="s">
        <v>94</v>
      </c>
      <c r="D20">
        <v>73</v>
      </c>
      <c r="E20">
        <v>33</v>
      </c>
      <c r="F20">
        <f t="shared" si="0"/>
        <v>68.867924528301884</v>
      </c>
      <c r="L20" s="2"/>
      <c r="M20" s="2"/>
    </row>
    <row r="21" spans="2:21" x14ac:dyDescent="0.2">
      <c r="C21" s="3" t="s">
        <v>95</v>
      </c>
      <c r="D21">
        <v>52</v>
      </c>
      <c r="E21">
        <v>50</v>
      </c>
      <c r="F21">
        <f t="shared" si="0"/>
        <v>50.980392156862742</v>
      </c>
    </row>
    <row r="22" spans="2:21" x14ac:dyDescent="0.2">
      <c r="C22" t="s">
        <v>2</v>
      </c>
      <c r="D22">
        <f>F6</f>
        <v>66.315789473684205</v>
      </c>
      <c r="N22" t="s">
        <v>93</v>
      </c>
      <c r="O22">
        <f>F19</f>
        <v>59.047619047619051</v>
      </c>
    </row>
    <row r="23" spans="2:21" x14ac:dyDescent="0.2">
      <c r="C23" t="s">
        <v>47</v>
      </c>
      <c r="D23" t="s">
        <v>48</v>
      </c>
      <c r="E23" t="s">
        <v>44</v>
      </c>
      <c r="F23" t="s">
        <v>50</v>
      </c>
      <c r="H23" t="s">
        <v>54</v>
      </c>
      <c r="I23" t="s">
        <v>55</v>
      </c>
      <c r="N23" t="s">
        <v>47</v>
      </c>
      <c r="O23" t="s">
        <v>48</v>
      </c>
      <c r="P23" t="s">
        <v>44</v>
      </c>
      <c r="Q23" t="s">
        <v>50</v>
      </c>
      <c r="S23" t="s">
        <v>54</v>
      </c>
      <c r="T23" t="s">
        <v>55</v>
      </c>
    </row>
    <row r="24" spans="2:21" x14ac:dyDescent="0.2">
      <c r="B24">
        <v>1</v>
      </c>
      <c r="C24" t="s">
        <v>31</v>
      </c>
      <c r="D24">
        <v>15</v>
      </c>
      <c r="E24">
        <v>66.7</v>
      </c>
      <c r="F24">
        <f>D24/(D32/8)*100</f>
        <v>126.31578947368421</v>
      </c>
      <c r="G24">
        <f>E24*F24</f>
        <v>8425.2631578947367</v>
      </c>
      <c r="H24" s="1">
        <f>E24/D22</f>
        <v>1.0057936507936509</v>
      </c>
      <c r="I24">
        <f>H24*D22</f>
        <v>66.7</v>
      </c>
      <c r="J24">
        <f>ROUND(F24,0)</f>
        <v>126</v>
      </c>
      <c r="M24">
        <v>1</v>
      </c>
      <c r="N24" t="s">
        <v>31</v>
      </c>
      <c r="O24">
        <v>21</v>
      </c>
      <c r="P24">
        <v>61.9</v>
      </c>
      <c r="Q24">
        <f>O24/(O32/8)*100</f>
        <v>161.53846153846155</v>
      </c>
      <c r="R24">
        <f>P24*Q24</f>
        <v>9999.2307692307695</v>
      </c>
      <c r="S24" s="1">
        <f>P24/O22</f>
        <v>1.048306451612903</v>
      </c>
      <c r="U24">
        <f>ROUND(Q24,0)</f>
        <v>162</v>
      </c>
    </row>
    <row r="25" spans="2:21" x14ac:dyDescent="0.2">
      <c r="B25">
        <v>2</v>
      </c>
      <c r="C25" t="s">
        <v>28</v>
      </c>
      <c r="D25">
        <v>18</v>
      </c>
      <c r="E25">
        <v>83.3</v>
      </c>
      <c r="F25">
        <f>D25/(D32/8)*100</f>
        <v>151.57894736842107</v>
      </c>
      <c r="G25">
        <f t="shared" ref="G25:G31" si="17">E25*F25</f>
        <v>12626.526315789475</v>
      </c>
      <c r="H25" s="1">
        <f>E25/D22</f>
        <v>1.2561111111111112</v>
      </c>
      <c r="I25">
        <f>H25*D22</f>
        <v>83.3</v>
      </c>
      <c r="J25">
        <f t="shared" ref="J25:J83" si="18">ROUND(F25,0)</f>
        <v>152</v>
      </c>
      <c r="M25">
        <v>2</v>
      </c>
      <c r="N25" t="s">
        <v>28</v>
      </c>
      <c r="O25">
        <v>20</v>
      </c>
      <c r="P25">
        <v>60</v>
      </c>
      <c r="Q25">
        <f>O25/(O32/8)*100</f>
        <v>153.84615384615387</v>
      </c>
      <c r="R25">
        <f t="shared" ref="R25:R31" si="19">P25*Q25</f>
        <v>9230.7692307692323</v>
      </c>
      <c r="S25" s="1">
        <f>P25/O22</f>
        <v>1.0161290322580645</v>
      </c>
      <c r="U25">
        <f t="shared" ref="U25:U31" si="20">ROUND(Q25,0)</f>
        <v>154</v>
      </c>
    </row>
    <row r="26" spans="2:21" x14ac:dyDescent="0.2">
      <c r="B26">
        <v>3</v>
      </c>
      <c r="C26" t="s">
        <v>35</v>
      </c>
      <c r="D26">
        <v>1</v>
      </c>
      <c r="E26">
        <v>100</v>
      </c>
      <c r="F26">
        <f>D26/(D32/8)*100</f>
        <v>8.4210526315789469</v>
      </c>
      <c r="G26">
        <f t="shared" si="17"/>
        <v>842.10526315789468</v>
      </c>
      <c r="H26" s="4">
        <f>E26/D22</f>
        <v>1.5079365079365081</v>
      </c>
      <c r="J26">
        <f t="shared" si="18"/>
        <v>8</v>
      </c>
      <c r="M26">
        <v>3</v>
      </c>
      <c r="N26" t="s">
        <v>35</v>
      </c>
      <c r="O26">
        <v>2</v>
      </c>
      <c r="P26">
        <v>100</v>
      </c>
      <c r="Q26">
        <f>O26/(O32/8)*100</f>
        <v>15.384615384615385</v>
      </c>
      <c r="R26">
        <f t="shared" si="19"/>
        <v>1538.4615384615386</v>
      </c>
      <c r="S26" s="4">
        <f>P26/O22</f>
        <v>1.693548387096774</v>
      </c>
      <c r="U26">
        <f t="shared" si="20"/>
        <v>15</v>
      </c>
    </row>
    <row r="27" spans="2:21" x14ac:dyDescent="0.2">
      <c r="B27">
        <v>4</v>
      </c>
      <c r="C27" t="s">
        <v>29</v>
      </c>
      <c r="D27">
        <v>15</v>
      </c>
      <c r="E27">
        <v>53.3</v>
      </c>
      <c r="F27">
        <f>D27/(D32/8)*100</f>
        <v>126.31578947368421</v>
      </c>
      <c r="G27">
        <f t="shared" si="17"/>
        <v>6732.6315789473674</v>
      </c>
      <c r="H27">
        <f>E27/D22</f>
        <v>0.80373015873015874</v>
      </c>
      <c r="J27">
        <f t="shared" si="18"/>
        <v>126</v>
      </c>
      <c r="M27">
        <v>4</v>
      </c>
      <c r="N27" t="s">
        <v>29</v>
      </c>
      <c r="O27">
        <v>9</v>
      </c>
      <c r="P27">
        <v>11.1</v>
      </c>
      <c r="Q27">
        <f>O27/(O32/8)*100</f>
        <v>69.230769230769226</v>
      </c>
      <c r="R27">
        <f t="shared" si="19"/>
        <v>768.46153846153834</v>
      </c>
      <c r="S27" s="2">
        <f>P27/O22</f>
        <v>0.18798387096774191</v>
      </c>
      <c r="U27">
        <f t="shared" si="20"/>
        <v>69</v>
      </c>
    </row>
    <row r="28" spans="2:21" x14ac:dyDescent="0.2">
      <c r="B28">
        <v>5</v>
      </c>
      <c r="C28" t="s">
        <v>33</v>
      </c>
      <c r="D28">
        <v>0</v>
      </c>
      <c r="E28">
        <v>0</v>
      </c>
      <c r="F28">
        <f>D28/(D32/8)*100</f>
        <v>0</v>
      </c>
      <c r="G28">
        <f t="shared" si="17"/>
        <v>0</v>
      </c>
      <c r="H28">
        <f>E28/D22</f>
        <v>0</v>
      </c>
      <c r="J28">
        <f t="shared" si="18"/>
        <v>0</v>
      </c>
      <c r="M28">
        <v>5</v>
      </c>
      <c r="N28" t="s">
        <v>33</v>
      </c>
      <c r="O28">
        <v>21</v>
      </c>
      <c r="P28">
        <v>61.9</v>
      </c>
      <c r="Q28">
        <f>O28/(O32/8)*100</f>
        <v>161.53846153846155</v>
      </c>
      <c r="R28">
        <f t="shared" si="19"/>
        <v>9999.2307692307695</v>
      </c>
      <c r="S28" s="1">
        <f>P28/O22</f>
        <v>1.048306451612903</v>
      </c>
      <c r="U28">
        <f t="shared" si="20"/>
        <v>162</v>
      </c>
    </row>
    <row r="29" spans="2:21" x14ac:dyDescent="0.2">
      <c r="B29">
        <v>6</v>
      </c>
      <c r="C29" t="s">
        <v>30</v>
      </c>
      <c r="D29">
        <v>15</v>
      </c>
      <c r="E29">
        <v>80</v>
      </c>
      <c r="F29">
        <f>D29/(D32/8)*100</f>
        <v>126.31578947368421</v>
      </c>
      <c r="G29">
        <f t="shared" si="17"/>
        <v>10105.263157894737</v>
      </c>
      <c r="H29" s="1">
        <f>E29/D22</f>
        <v>1.2063492063492065</v>
      </c>
      <c r="J29">
        <f t="shared" si="18"/>
        <v>126</v>
      </c>
      <c r="M29">
        <v>6</v>
      </c>
      <c r="N29" t="s">
        <v>30</v>
      </c>
      <c r="O29">
        <v>0</v>
      </c>
      <c r="P29">
        <v>0</v>
      </c>
      <c r="Q29">
        <f>O29/(O32/8)*100</f>
        <v>0</v>
      </c>
      <c r="R29">
        <f t="shared" si="19"/>
        <v>0</v>
      </c>
      <c r="S29" s="4">
        <f>P29/O22</f>
        <v>0</v>
      </c>
      <c r="U29">
        <f t="shared" si="20"/>
        <v>0</v>
      </c>
    </row>
    <row r="30" spans="2:21" x14ac:dyDescent="0.2">
      <c r="B30">
        <v>7</v>
      </c>
      <c r="C30" t="s">
        <v>32</v>
      </c>
      <c r="D30">
        <v>14</v>
      </c>
      <c r="E30">
        <v>50</v>
      </c>
      <c r="F30">
        <f>D30/(D32/8)*100</f>
        <v>117.89473684210525</v>
      </c>
      <c r="G30">
        <f t="shared" si="17"/>
        <v>5894.7368421052624</v>
      </c>
      <c r="H30">
        <f>E30/D22</f>
        <v>0.75396825396825407</v>
      </c>
      <c r="J30">
        <f t="shared" si="18"/>
        <v>118</v>
      </c>
      <c r="M30">
        <v>7</v>
      </c>
      <c r="N30" t="s">
        <v>32</v>
      </c>
      <c r="O30">
        <v>13</v>
      </c>
      <c r="P30">
        <v>61.5</v>
      </c>
      <c r="Q30">
        <f>O30/(O32/8)*100</f>
        <v>100</v>
      </c>
      <c r="R30">
        <f t="shared" si="19"/>
        <v>6150</v>
      </c>
      <c r="S30" s="1">
        <f>P30/O22</f>
        <v>1.0415322580645161</v>
      </c>
      <c r="U30">
        <f t="shared" si="20"/>
        <v>100</v>
      </c>
    </row>
    <row r="31" spans="2:21" x14ac:dyDescent="0.2">
      <c r="B31">
        <v>8</v>
      </c>
      <c r="C31" t="s">
        <v>27</v>
      </c>
      <c r="D31">
        <v>17</v>
      </c>
      <c r="E31">
        <v>58.8</v>
      </c>
      <c r="F31">
        <f>D31/(D32/8)*100</f>
        <v>143.15789473684211</v>
      </c>
      <c r="G31">
        <f t="shared" si="17"/>
        <v>8417.6842105263149</v>
      </c>
      <c r="H31">
        <f>E31/D22</f>
        <v>0.88666666666666671</v>
      </c>
      <c r="J31">
        <f t="shared" si="18"/>
        <v>143</v>
      </c>
      <c r="M31">
        <v>8</v>
      </c>
      <c r="N31" t="s">
        <v>27</v>
      </c>
      <c r="O31">
        <v>18</v>
      </c>
      <c r="P31">
        <v>66.7</v>
      </c>
      <c r="Q31">
        <f>O31/(O32/8)*100</f>
        <v>138.46153846153845</v>
      </c>
      <c r="R31">
        <f t="shared" si="19"/>
        <v>9235.3846153846152</v>
      </c>
      <c r="S31" s="1">
        <f>P31/O22</f>
        <v>1.1295967741935484</v>
      </c>
      <c r="U31">
        <f t="shared" si="20"/>
        <v>138</v>
      </c>
    </row>
    <row r="32" spans="2:21" x14ac:dyDescent="0.2">
      <c r="C32" t="s">
        <v>49</v>
      </c>
      <c r="D32">
        <f>SUM(D24:D31)</f>
        <v>95</v>
      </c>
      <c r="N32" t="s">
        <v>49</v>
      </c>
      <c r="O32">
        <f>SUM(O24:O31)</f>
        <v>104</v>
      </c>
      <c r="S32" s="2"/>
    </row>
    <row r="33" spans="2:21" x14ac:dyDescent="0.2">
      <c r="S33" s="2"/>
    </row>
    <row r="34" spans="2:21" x14ac:dyDescent="0.2">
      <c r="S34" s="2"/>
    </row>
    <row r="35" spans="2:21" x14ac:dyDescent="0.2">
      <c r="C35" t="s">
        <v>51</v>
      </c>
      <c r="D35">
        <f>F18</f>
        <v>42.857142857142854</v>
      </c>
      <c r="N35" t="s">
        <v>96</v>
      </c>
      <c r="O35">
        <f>F20</f>
        <v>68.867924528301884</v>
      </c>
    </row>
    <row r="36" spans="2:21" x14ac:dyDescent="0.2">
      <c r="C36" t="s">
        <v>47</v>
      </c>
      <c r="D36" t="s">
        <v>48</v>
      </c>
      <c r="E36" t="s">
        <v>44</v>
      </c>
      <c r="F36" t="s">
        <v>50</v>
      </c>
      <c r="H36" t="s">
        <v>54</v>
      </c>
      <c r="N36" t="s">
        <v>47</v>
      </c>
      <c r="O36" t="s">
        <v>48</v>
      </c>
      <c r="P36" t="s">
        <v>44</v>
      </c>
      <c r="Q36" t="s">
        <v>50</v>
      </c>
      <c r="S36" t="s">
        <v>54</v>
      </c>
      <c r="T36" t="s">
        <v>55</v>
      </c>
    </row>
    <row r="37" spans="2:21" x14ac:dyDescent="0.2">
      <c r="B37">
        <v>1</v>
      </c>
      <c r="C37" t="s">
        <v>31</v>
      </c>
      <c r="D37">
        <v>15</v>
      </c>
      <c r="E37">
        <v>40</v>
      </c>
      <c r="F37">
        <f>D37/(D45/8)*100</f>
        <v>173.91304347826087</v>
      </c>
      <c r="G37">
        <f>E37*F37</f>
        <v>6956.521739130435</v>
      </c>
      <c r="H37">
        <f>E37/D35</f>
        <v>0.93333333333333335</v>
      </c>
      <c r="J37">
        <f t="shared" si="18"/>
        <v>174</v>
      </c>
      <c r="M37">
        <v>1</v>
      </c>
      <c r="N37" t="s">
        <v>31</v>
      </c>
      <c r="O37">
        <v>21</v>
      </c>
      <c r="P37">
        <v>76.2</v>
      </c>
      <c r="Q37">
        <f>O37/(O45/8)*100</f>
        <v>160</v>
      </c>
      <c r="R37">
        <f>P37*Q37</f>
        <v>12192</v>
      </c>
      <c r="S37" s="1">
        <f>P37/O35</f>
        <v>1.1064657534246576</v>
      </c>
      <c r="U37">
        <f>ROUND(Q37,0)</f>
        <v>160</v>
      </c>
    </row>
    <row r="38" spans="2:21" x14ac:dyDescent="0.2">
      <c r="B38">
        <v>2</v>
      </c>
      <c r="C38" t="s">
        <v>28</v>
      </c>
      <c r="D38">
        <v>14</v>
      </c>
      <c r="E38">
        <v>50</v>
      </c>
      <c r="F38">
        <f>D38/(D45/8)*100</f>
        <v>162.31884057971016</v>
      </c>
      <c r="G38">
        <f t="shared" ref="G38:G44" si="21">E38*F38</f>
        <v>8115.9420289855079</v>
      </c>
      <c r="H38" s="1">
        <f>E38/D35</f>
        <v>1.1666666666666667</v>
      </c>
      <c r="J38">
        <f t="shared" si="18"/>
        <v>162</v>
      </c>
      <c r="M38">
        <v>2</v>
      </c>
      <c r="N38" t="s">
        <v>28</v>
      </c>
      <c r="O38">
        <v>19</v>
      </c>
      <c r="P38">
        <v>84.2</v>
      </c>
      <c r="Q38">
        <f>O38/(O45/8)*100</f>
        <v>144.76190476190476</v>
      </c>
      <c r="R38">
        <f t="shared" ref="R38:R44" si="22">P38*Q38</f>
        <v>12188.952380952382</v>
      </c>
      <c r="S38" s="1">
        <f>P38/O35</f>
        <v>1.2226301369863015</v>
      </c>
      <c r="U38">
        <f t="shared" ref="U38:U44" si="23">ROUND(Q38,0)</f>
        <v>145</v>
      </c>
    </row>
    <row r="39" spans="2:21" x14ac:dyDescent="0.2">
      <c r="B39">
        <v>3</v>
      </c>
      <c r="C39" t="s">
        <v>35</v>
      </c>
      <c r="D39">
        <v>1</v>
      </c>
      <c r="E39">
        <v>0</v>
      </c>
      <c r="F39">
        <f>D39/(D45/8)*100</f>
        <v>11.594202898550725</v>
      </c>
      <c r="G39">
        <f t="shared" si="21"/>
        <v>0</v>
      </c>
      <c r="H39">
        <f>E39/D35</f>
        <v>0</v>
      </c>
      <c r="J39">
        <f t="shared" si="18"/>
        <v>12</v>
      </c>
      <c r="M39">
        <v>3</v>
      </c>
      <c r="N39" t="s">
        <v>35</v>
      </c>
      <c r="O39">
        <v>2</v>
      </c>
      <c r="P39">
        <v>50</v>
      </c>
      <c r="Q39">
        <f>O39/(O45/8)*100</f>
        <v>15.238095238095239</v>
      </c>
      <c r="R39">
        <f t="shared" si="22"/>
        <v>761.90476190476193</v>
      </c>
      <c r="S39" s="4">
        <f>P39/O35</f>
        <v>0.72602739726027399</v>
      </c>
      <c r="U39">
        <f t="shared" si="23"/>
        <v>15</v>
      </c>
    </row>
    <row r="40" spans="2:21" x14ac:dyDescent="0.2">
      <c r="B40">
        <v>4</v>
      </c>
      <c r="C40" t="s">
        <v>29</v>
      </c>
      <c r="D40">
        <v>12</v>
      </c>
      <c r="E40">
        <v>50</v>
      </c>
      <c r="F40">
        <f>D40/(D45/8)*100</f>
        <v>139.13043478260869</v>
      </c>
      <c r="G40">
        <f t="shared" si="21"/>
        <v>6956.5217391304341</v>
      </c>
      <c r="H40" s="1">
        <f>E40/D35</f>
        <v>1.1666666666666667</v>
      </c>
      <c r="J40">
        <f t="shared" si="18"/>
        <v>139</v>
      </c>
      <c r="M40">
        <v>4</v>
      </c>
      <c r="N40" t="s">
        <v>29</v>
      </c>
      <c r="O40">
        <v>13</v>
      </c>
      <c r="P40">
        <v>53.8</v>
      </c>
      <c r="Q40">
        <f>O40/(O45/8)*100</f>
        <v>99.047619047619051</v>
      </c>
      <c r="R40">
        <f t="shared" si="22"/>
        <v>5328.7619047619046</v>
      </c>
      <c r="S40" s="2">
        <f>P40/O35</f>
        <v>0.78120547945205476</v>
      </c>
      <c r="U40">
        <f t="shared" si="23"/>
        <v>99</v>
      </c>
    </row>
    <row r="41" spans="2:21" x14ac:dyDescent="0.2">
      <c r="B41">
        <v>5</v>
      </c>
      <c r="C41" t="s">
        <v>33</v>
      </c>
      <c r="D41">
        <v>1</v>
      </c>
      <c r="E41">
        <v>0</v>
      </c>
      <c r="F41">
        <f>D41/(D45/8)*100</f>
        <v>11.594202898550725</v>
      </c>
      <c r="G41">
        <f t="shared" si="21"/>
        <v>0</v>
      </c>
      <c r="H41">
        <f>E41/D35</f>
        <v>0</v>
      </c>
      <c r="J41">
        <f t="shared" si="18"/>
        <v>12</v>
      </c>
      <c r="M41">
        <v>5</v>
      </c>
      <c r="N41" t="s">
        <v>33</v>
      </c>
      <c r="O41">
        <v>20</v>
      </c>
      <c r="P41">
        <v>85</v>
      </c>
      <c r="Q41">
        <f>O41/(O45/8)*100</f>
        <v>152.38095238095238</v>
      </c>
      <c r="R41">
        <f t="shared" si="22"/>
        <v>12952.380952380952</v>
      </c>
      <c r="S41" s="1">
        <f>P41/O35</f>
        <v>1.2342465753424658</v>
      </c>
      <c r="U41">
        <f t="shared" si="23"/>
        <v>152</v>
      </c>
    </row>
    <row r="42" spans="2:21" x14ac:dyDescent="0.2">
      <c r="B42">
        <v>6</v>
      </c>
      <c r="C42" t="s">
        <v>30</v>
      </c>
      <c r="D42">
        <v>9</v>
      </c>
      <c r="E42">
        <v>33.299999999999997</v>
      </c>
      <c r="F42">
        <f>D42/(D45/8)*100</f>
        <v>104.34782608695652</v>
      </c>
      <c r="G42">
        <f t="shared" si="21"/>
        <v>3474.7826086956516</v>
      </c>
      <c r="H42">
        <f>E42/D35</f>
        <v>0.77700000000000002</v>
      </c>
      <c r="J42">
        <f t="shared" si="18"/>
        <v>104</v>
      </c>
      <c r="M42">
        <v>6</v>
      </c>
      <c r="N42" t="s">
        <v>30</v>
      </c>
      <c r="O42">
        <v>1</v>
      </c>
      <c r="P42">
        <v>0</v>
      </c>
      <c r="Q42">
        <f>O42/(O45/8)*100</f>
        <v>7.6190476190476195</v>
      </c>
      <c r="R42">
        <f t="shared" si="22"/>
        <v>0</v>
      </c>
      <c r="S42" s="4">
        <f>P42/O35</f>
        <v>0</v>
      </c>
      <c r="U42">
        <f t="shared" si="23"/>
        <v>8</v>
      </c>
    </row>
    <row r="43" spans="2:21" x14ac:dyDescent="0.2">
      <c r="B43">
        <v>7</v>
      </c>
      <c r="C43" t="s">
        <v>32</v>
      </c>
      <c r="D43">
        <v>4</v>
      </c>
      <c r="E43">
        <v>0</v>
      </c>
      <c r="F43">
        <f>D43/(D45/8)*100</f>
        <v>46.376811594202898</v>
      </c>
      <c r="G43">
        <f t="shared" si="21"/>
        <v>0</v>
      </c>
      <c r="H43">
        <f>E43/D35</f>
        <v>0</v>
      </c>
      <c r="J43">
        <f t="shared" si="18"/>
        <v>46</v>
      </c>
      <c r="M43">
        <v>7</v>
      </c>
      <c r="N43" t="s">
        <v>32</v>
      </c>
      <c r="O43">
        <v>12</v>
      </c>
      <c r="P43">
        <v>66.7</v>
      </c>
      <c r="Q43">
        <f>O43/(O45/8)*100</f>
        <v>91.428571428571431</v>
      </c>
      <c r="R43">
        <f t="shared" si="22"/>
        <v>6098.2857142857147</v>
      </c>
      <c r="S43" s="2">
        <f>P43/O35</f>
        <v>0.96852054794520559</v>
      </c>
      <c r="U43">
        <f t="shared" si="23"/>
        <v>91</v>
      </c>
    </row>
    <row r="44" spans="2:21" x14ac:dyDescent="0.2">
      <c r="B44">
        <v>8</v>
      </c>
      <c r="C44" t="s">
        <v>27</v>
      </c>
      <c r="D44">
        <v>13</v>
      </c>
      <c r="E44">
        <v>61.5</v>
      </c>
      <c r="F44">
        <f>D44/(D45/8)*100</f>
        <v>150.72463768115944</v>
      </c>
      <c r="G44">
        <f t="shared" si="21"/>
        <v>9269.5652173913059</v>
      </c>
      <c r="H44" s="1">
        <f>E44/D35</f>
        <v>1.4350000000000001</v>
      </c>
      <c r="J44">
        <f t="shared" si="18"/>
        <v>151</v>
      </c>
      <c r="M44">
        <v>8</v>
      </c>
      <c r="N44" t="s">
        <v>27</v>
      </c>
      <c r="O44">
        <v>17</v>
      </c>
      <c r="P44">
        <v>41.2</v>
      </c>
      <c r="Q44">
        <f>O44/(O45/8)*100</f>
        <v>129.52380952380952</v>
      </c>
      <c r="R44">
        <f t="shared" si="22"/>
        <v>5336.3809523809523</v>
      </c>
      <c r="S44" s="2">
        <f>P44/O35</f>
        <v>0.59824657534246584</v>
      </c>
      <c r="U44">
        <f t="shared" si="23"/>
        <v>130</v>
      </c>
    </row>
    <row r="45" spans="2:21" x14ac:dyDescent="0.2">
      <c r="C45" t="s">
        <v>49</v>
      </c>
      <c r="D45">
        <f>SUM(D37:D44)</f>
        <v>69</v>
      </c>
      <c r="N45" t="s">
        <v>49</v>
      </c>
      <c r="O45">
        <f>SUM(O37:O44)</f>
        <v>105</v>
      </c>
      <c r="S45" s="2"/>
    </row>
    <row r="46" spans="2:21" x14ac:dyDescent="0.2">
      <c r="S46" s="2"/>
    </row>
    <row r="47" spans="2:21" x14ac:dyDescent="0.2">
      <c r="S47" s="2"/>
    </row>
    <row r="48" spans="2:21" x14ac:dyDescent="0.2">
      <c r="C48" t="s">
        <v>1</v>
      </c>
      <c r="D48">
        <f>F17</f>
        <v>48.863636363636367</v>
      </c>
      <c r="N48" t="s">
        <v>95</v>
      </c>
      <c r="O48">
        <f>F21</f>
        <v>50.980392156862742</v>
      </c>
    </row>
    <row r="49" spans="2:21" x14ac:dyDescent="0.2">
      <c r="C49" t="s">
        <v>47</v>
      </c>
      <c r="D49" t="s">
        <v>48</v>
      </c>
      <c r="E49" t="s">
        <v>44</v>
      </c>
      <c r="F49" t="s">
        <v>50</v>
      </c>
      <c r="H49" t="s">
        <v>54</v>
      </c>
      <c r="N49" t="s">
        <v>47</v>
      </c>
      <c r="O49" t="s">
        <v>48</v>
      </c>
      <c r="P49" t="s">
        <v>44</v>
      </c>
      <c r="Q49" t="s">
        <v>50</v>
      </c>
      <c r="S49" t="s">
        <v>54</v>
      </c>
      <c r="T49" t="s">
        <v>55</v>
      </c>
    </row>
    <row r="50" spans="2:21" x14ac:dyDescent="0.2">
      <c r="B50">
        <v>1</v>
      </c>
      <c r="C50" t="s">
        <v>31</v>
      </c>
      <c r="D50">
        <v>10</v>
      </c>
      <c r="E50">
        <v>50</v>
      </c>
      <c r="F50">
        <f>D50/(D58/8)*100</f>
        <v>90.909090909090907</v>
      </c>
      <c r="G50">
        <f>E50*F50</f>
        <v>4545.454545454545</v>
      </c>
      <c r="H50" s="1">
        <f>E50/D48</f>
        <v>1.0232558139534884</v>
      </c>
      <c r="J50">
        <f t="shared" si="18"/>
        <v>91</v>
      </c>
      <c r="M50">
        <v>1</v>
      </c>
      <c r="N50" t="s">
        <v>31</v>
      </c>
      <c r="O50">
        <v>12</v>
      </c>
      <c r="P50">
        <v>50</v>
      </c>
      <c r="Q50">
        <f>O50/(O58/8)*100</f>
        <v>96.969696969696969</v>
      </c>
      <c r="R50">
        <f>P50*Q50</f>
        <v>4848.484848484848</v>
      </c>
      <c r="S50" s="2">
        <f>P50/O48</f>
        <v>0.98076923076923084</v>
      </c>
      <c r="U50">
        <f>ROUND(Q50,0)</f>
        <v>97</v>
      </c>
    </row>
    <row r="51" spans="2:21" x14ac:dyDescent="0.2">
      <c r="B51">
        <v>2</v>
      </c>
      <c r="C51" t="s">
        <v>28</v>
      </c>
      <c r="D51">
        <v>12</v>
      </c>
      <c r="E51">
        <v>41.7</v>
      </c>
      <c r="F51">
        <f>D51/(D58/8)*100</f>
        <v>109.09090909090908</v>
      </c>
      <c r="G51">
        <f t="shared" ref="G51:G57" si="24">E51*F51</f>
        <v>4549.090909090909</v>
      </c>
      <c r="H51" s="2">
        <f>E51/D48</f>
        <v>0.85339534883720936</v>
      </c>
      <c r="J51">
        <f t="shared" si="18"/>
        <v>109</v>
      </c>
      <c r="M51">
        <v>2</v>
      </c>
      <c r="N51" t="s">
        <v>28</v>
      </c>
      <c r="O51">
        <v>20</v>
      </c>
      <c r="P51">
        <v>50</v>
      </c>
      <c r="Q51">
        <f>O51/(O58/8)*100</f>
        <v>161.61616161616161</v>
      </c>
      <c r="R51">
        <f t="shared" ref="R51:R57" si="25">P51*Q51</f>
        <v>8080.8080808080804</v>
      </c>
      <c r="S51" s="2">
        <f>P51/O48</f>
        <v>0.98076923076923084</v>
      </c>
      <c r="U51">
        <f t="shared" ref="U51:U57" si="26">ROUND(Q51,0)</f>
        <v>162</v>
      </c>
    </row>
    <row r="52" spans="2:21" x14ac:dyDescent="0.2">
      <c r="B52">
        <v>3</v>
      </c>
      <c r="C52" t="s">
        <v>35</v>
      </c>
      <c r="D52">
        <v>5</v>
      </c>
      <c r="E52">
        <v>80</v>
      </c>
      <c r="F52">
        <f>D52/(D58/8)*100</f>
        <v>45.454545454545453</v>
      </c>
      <c r="G52">
        <f t="shared" si="24"/>
        <v>3636.363636363636</v>
      </c>
      <c r="H52" s="4">
        <f>E52/D48</f>
        <v>1.6372093023255814</v>
      </c>
      <c r="J52">
        <f t="shared" si="18"/>
        <v>45</v>
      </c>
      <c r="M52">
        <v>3</v>
      </c>
      <c r="N52" t="s">
        <v>35</v>
      </c>
      <c r="O52">
        <v>4</v>
      </c>
      <c r="P52">
        <v>75</v>
      </c>
      <c r="Q52">
        <f>O52/(O58/8)*100</f>
        <v>32.323232323232325</v>
      </c>
      <c r="R52">
        <f t="shared" si="25"/>
        <v>2424.2424242424245</v>
      </c>
      <c r="S52" s="4">
        <f>P52/O48</f>
        <v>1.4711538461538463</v>
      </c>
      <c r="U52">
        <f t="shared" si="26"/>
        <v>32</v>
      </c>
    </row>
    <row r="53" spans="2:21" x14ac:dyDescent="0.2">
      <c r="B53">
        <v>4</v>
      </c>
      <c r="C53" t="s">
        <v>29</v>
      </c>
      <c r="D53">
        <v>15</v>
      </c>
      <c r="E53">
        <v>33.299999999999997</v>
      </c>
      <c r="F53">
        <f>D53/(D58/8)*100</f>
        <v>136.36363636363635</v>
      </c>
      <c r="G53">
        <f t="shared" si="24"/>
        <v>4540.9090909090901</v>
      </c>
      <c r="H53" s="2">
        <f>E53/D48</f>
        <v>0.68148837209302315</v>
      </c>
      <c r="J53">
        <f t="shared" si="18"/>
        <v>136</v>
      </c>
      <c r="M53">
        <v>4</v>
      </c>
      <c r="N53" t="s">
        <v>29</v>
      </c>
      <c r="O53">
        <v>9</v>
      </c>
      <c r="P53">
        <v>44.4</v>
      </c>
      <c r="Q53">
        <f>O53/(O58/8)*100</f>
        <v>72.727272727272734</v>
      </c>
      <c r="R53">
        <f t="shared" si="25"/>
        <v>3229.0909090909095</v>
      </c>
      <c r="S53" s="2">
        <f>P53/O48</f>
        <v>0.87092307692307691</v>
      </c>
      <c r="U53">
        <f t="shared" si="26"/>
        <v>73</v>
      </c>
    </row>
    <row r="54" spans="2:21" x14ac:dyDescent="0.2">
      <c r="B54">
        <v>5</v>
      </c>
      <c r="C54" t="s">
        <v>33</v>
      </c>
      <c r="D54">
        <v>4</v>
      </c>
      <c r="E54">
        <v>0</v>
      </c>
      <c r="F54">
        <f>D54/(D58/8)*100</f>
        <v>36.363636363636367</v>
      </c>
      <c r="G54">
        <f t="shared" si="24"/>
        <v>0</v>
      </c>
      <c r="H54" s="2">
        <f>E54/D48</f>
        <v>0</v>
      </c>
      <c r="J54">
        <f t="shared" si="18"/>
        <v>36</v>
      </c>
      <c r="M54">
        <v>5</v>
      </c>
      <c r="N54" t="s">
        <v>33</v>
      </c>
      <c r="O54">
        <v>11</v>
      </c>
      <c r="P54">
        <v>36.4</v>
      </c>
      <c r="Q54">
        <f>O54/(O58/8)*100</f>
        <v>88.888888888888886</v>
      </c>
      <c r="R54">
        <f t="shared" si="25"/>
        <v>3235.5555555555552</v>
      </c>
      <c r="S54" s="2">
        <f>P54/O48</f>
        <v>0.71399999999999997</v>
      </c>
      <c r="U54">
        <f t="shared" si="26"/>
        <v>89</v>
      </c>
    </row>
    <row r="55" spans="2:21" x14ac:dyDescent="0.2">
      <c r="B55">
        <v>6</v>
      </c>
      <c r="C55" t="s">
        <v>30</v>
      </c>
      <c r="D55">
        <v>18</v>
      </c>
      <c r="E55">
        <v>55.6</v>
      </c>
      <c r="F55">
        <f>D55/(D58/8)*100</f>
        <v>163.63636363636365</v>
      </c>
      <c r="G55">
        <f t="shared" si="24"/>
        <v>9098.1818181818198</v>
      </c>
      <c r="H55" s="1">
        <f>E55/D48</f>
        <v>1.1378604651162789</v>
      </c>
      <c r="J55">
        <f t="shared" si="18"/>
        <v>164</v>
      </c>
      <c r="M55">
        <v>6</v>
      </c>
      <c r="N55" t="s">
        <v>30</v>
      </c>
      <c r="O55">
        <v>6</v>
      </c>
      <c r="P55">
        <v>50</v>
      </c>
      <c r="Q55">
        <f>O55/(O58/8)*100</f>
        <v>48.484848484848484</v>
      </c>
      <c r="R55">
        <f t="shared" si="25"/>
        <v>2424.242424242424</v>
      </c>
      <c r="S55" s="5">
        <f>P55/O48</f>
        <v>0.98076923076923084</v>
      </c>
      <c r="U55">
        <f t="shared" si="26"/>
        <v>48</v>
      </c>
    </row>
    <row r="56" spans="2:21" x14ac:dyDescent="0.2">
      <c r="B56">
        <v>7</v>
      </c>
      <c r="C56" t="s">
        <v>32</v>
      </c>
      <c r="D56">
        <v>0</v>
      </c>
      <c r="E56">
        <v>0</v>
      </c>
      <c r="F56">
        <f>D56/(D58/8)*100</f>
        <v>0</v>
      </c>
      <c r="G56">
        <f t="shared" si="24"/>
        <v>0</v>
      </c>
      <c r="H56" s="2">
        <f>E56/D48</f>
        <v>0</v>
      </c>
      <c r="J56">
        <f t="shared" si="18"/>
        <v>0</v>
      </c>
      <c r="M56">
        <v>7</v>
      </c>
      <c r="N56" t="s">
        <v>32</v>
      </c>
      <c r="O56">
        <v>18</v>
      </c>
      <c r="P56">
        <v>55.6</v>
      </c>
      <c r="Q56">
        <f>O56/(O58/8)*100</f>
        <v>145.45454545454547</v>
      </c>
      <c r="R56">
        <f t="shared" si="25"/>
        <v>8087.2727272727279</v>
      </c>
      <c r="S56" s="1">
        <f>P56/O48</f>
        <v>1.0906153846153848</v>
      </c>
      <c r="U56">
        <f t="shared" si="26"/>
        <v>145</v>
      </c>
    </row>
    <row r="57" spans="2:21" x14ac:dyDescent="0.2">
      <c r="B57">
        <v>8</v>
      </c>
      <c r="C57" t="s">
        <v>27</v>
      </c>
      <c r="D57">
        <v>24</v>
      </c>
      <c r="E57">
        <v>58.3</v>
      </c>
      <c r="F57">
        <f>D57/(D58/8)*100</f>
        <v>218.18181818181816</v>
      </c>
      <c r="G57">
        <f t="shared" si="24"/>
        <v>12719.999999999998</v>
      </c>
      <c r="H57" s="1">
        <f>E57/D48</f>
        <v>1.1931162790697674</v>
      </c>
      <c r="J57">
        <f t="shared" si="18"/>
        <v>218</v>
      </c>
      <c r="M57">
        <v>8</v>
      </c>
      <c r="N57" t="s">
        <v>27</v>
      </c>
      <c r="O57">
        <v>19</v>
      </c>
      <c r="P57">
        <v>57.9</v>
      </c>
      <c r="Q57">
        <f>O57/(O58/8)*100</f>
        <v>153.53535353535352</v>
      </c>
      <c r="R57">
        <f t="shared" si="25"/>
        <v>8889.6969696969682</v>
      </c>
      <c r="S57" s="1">
        <f>P57/O48</f>
        <v>1.1357307692307692</v>
      </c>
      <c r="U57">
        <f t="shared" si="26"/>
        <v>154</v>
      </c>
    </row>
    <row r="58" spans="2:21" x14ac:dyDescent="0.2">
      <c r="C58" t="s">
        <v>49</v>
      </c>
      <c r="D58">
        <f>SUM(D50:D57)</f>
        <v>88</v>
      </c>
      <c r="H58" s="2"/>
      <c r="N58" t="s">
        <v>49</v>
      </c>
      <c r="O58">
        <f>SUM(O50:O57)</f>
        <v>99</v>
      </c>
      <c r="S58" s="2"/>
    </row>
    <row r="61" spans="2:21" x14ac:dyDescent="0.2">
      <c r="C61" t="s">
        <v>7</v>
      </c>
      <c r="D61">
        <f>F12</f>
        <v>58.333333333333336</v>
      </c>
    </row>
    <row r="62" spans="2:21" x14ac:dyDescent="0.2">
      <c r="C62" t="s">
        <v>47</v>
      </c>
      <c r="D62" t="s">
        <v>48</v>
      </c>
      <c r="E62" t="s">
        <v>44</v>
      </c>
      <c r="F62" t="s">
        <v>50</v>
      </c>
      <c r="H62" t="s">
        <v>54</v>
      </c>
    </row>
    <row r="63" spans="2:21" x14ac:dyDescent="0.2">
      <c r="B63">
        <v>1</v>
      </c>
      <c r="C63" t="s">
        <v>31</v>
      </c>
      <c r="D63">
        <v>11</v>
      </c>
      <c r="E63">
        <v>63.6</v>
      </c>
      <c r="F63">
        <f>D63/(D71/8)*100</f>
        <v>106.02409638554218</v>
      </c>
      <c r="G63">
        <f>E63*F63</f>
        <v>6743.1325301204824</v>
      </c>
      <c r="H63" s="1">
        <f>E63/D61</f>
        <v>1.0902857142857143</v>
      </c>
      <c r="J63">
        <f t="shared" si="18"/>
        <v>106</v>
      </c>
    </row>
    <row r="64" spans="2:21" x14ac:dyDescent="0.2">
      <c r="B64">
        <v>2</v>
      </c>
      <c r="C64" t="s">
        <v>28</v>
      </c>
      <c r="D64">
        <v>10</v>
      </c>
      <c r="E64">
        <v>50</v>
      </c>
      <c r="F64">
        <f>D64/(D71/8)*100</f>
        <v>96.385542168674704</v>
      </c>
      <c r="G64">
        <f t="shared" ref="G64:G70" si="27">E64*F64</f>
        <v>4819.2771084337355</v>
      </c>
      <c r="H64" s="2">
        <f>E64/D61</f>
        <v>0.8571428571428571</v>
      </c>
      <c r="J64">
        <f t="shared" si="18"/>
        <v>96</v>
      </c>
    </row>
    <row r="65" spans="2:10" x14ac:dyDescent="0.2">
      <c r="B65">
        <v>3</v>
      </c>
      <c r="C65" t="s">
        <v>35</v>
      </c>
      <c r="D65">
        <v>0</v>
      </c>
      <c r="E65">
        <v>0</v>
      </c>
      <c r="F65">
        <f>D65/(D71/8)*100</f>
        <v>0</v>
      </c>
      <c r="G65">
        <f t="shared" si="27"/>
        <v>0</v>
      </c>
      <c r="H65" s="2">
        <f>E65/D61</f>
        <v>0</v>
      </c>
      <c r="J65">
        <f t="shared" si="18"/>
        <v>0</v>
      </c>
    </row>
    <row r="66" spans="2:10" x14ac:dyDescent="0.2">
      <c r="B66">
        <v>4</v>
      </c>
      <c r="C66" t="s">
        <v>29</v>
      </c>
      <c r="D66">
        <v>18</v>
      </c>
      <c r="E66">
        <v>77.8</v>
      </c>
      <c r="F66">
        <f>D66/(D71/8)*100</f>
        <v>173.49397590361446</v>
      </c>
      <c r="G66">
        <f t="shared" si="27"/>
        <v>13497.831325301204</v>
      </c>
      <c r="H66" s="1">
        <f>E66/D61</f>
        <v>1.3337142857142856</v>
      </c>
      <c r="J66">
        <f t="shared" si="18"/>
        <v>173</v>
      </c>
    </row>
    <row r="67" spans="2:10" x14ac:dyDescent="0.2">
      <c r="B67">
        <v>5</v>
      </c>
      <c r="C67" t="s">
        <v>33</v>
      </c>
      <c r="D67">
        <v>14</v>
      </c>
      <c r="E67">
        <v>50</v>
      </c>
      <c r="F67">
        <f>D67/(D71/8)*100</f>
        <v>134.93975903614458</v>
      </c>
      <c r="G67">
        <f t="shared" si="27"/>
        <v>6746.9879518072294</v>
      </c>
      <c r="H67" s="2">
        <f>E67/D61</f>
        <v>0.8571428571428571</v>
      </c>
      <c r="J67">
        <f t="shared" si="18"/>
        <v>135</v>
      </c>
    </row>
    <row r="68" spans="2:10" x14ac:dyDescent="0.2">
      <c r="B68">
        <v>6</v>
      </c>
      <c r="C68" t="s">
        <v>30</v>
      </c>
      <c r="D68">
        <v>2</v>
      </c>
      <c r="E68">
        <v>100</v>
      </c>
      <c r="F68">
        <f>D68/(D71/8)*100</f>
        <v>19.277108433734941</v>
      </c>
      <c r="G68">
        <f t="shared" si="27"/>
        <v>1927.7108433734941</v>
      </c>
      <c r="H68" s="4">
        <f>E68/D61</f>
        <v>1.7142857142857142</v>
      </c>
      <c r="J68">
        <f t="shared" si="18"/>
        <v>19</v>
      </c>
    </row>
    <row r="69" spans="2:10" x14ac:dyDescent="0.2">
      <c r="B69">
        <v>7</v>
      </c>
      <c r="C69" t="s">
        <v>32</v>
      </c>
      <c r="D69">
        <v>8</v>
      </c>
      <c r="E69">
        <v>50</v>
      </c>
      <c r="F69">
        <f>D69/(D71/8)*100</f>
        <v>77.108433734939766</v>
      </c>
      <c r="G69">
        <f t="shared" si="27"/>
        <v>3855.4216867469881</v>
      </c>
      <c r="H69" s="2">
        <f>E69/D61</f>
        <v>0.8571428571428571</v>
      </c>
      <c r="J69">
        <f t="shared" si="18"/>
        <v>77</v>
      </c>
    </row>
    <row r="70" spans="2:10" x14ac:dyDescent="0.2">
      <c r="B70">
        <v>8</v>
      </c>
      <c r="C70" t="s">
        <v>27</v>
      </c>
      <c r="D70">
        <v>20</v>
      </c>
      <c r="E70">
        <v>50</v>
      </c>
      <c r="F70">
        <f>D70/(D71/8)*100</f>
        <v>192.77108433734941</v>
      </c>
      <c r="G70">
        <f t="shared" si="27"/>
        <v>9638.554216867471</v>
      </c>
      <c r="H70" s="2">
        <f>E70/D61</f>
        <v>0.8571428571428571</v>
      </c>
      <c r="J70">
        <f t="shared" si="18"/>
        <v>193</v>
      </c>
    </row>
    <row r="71" spans="2:10" x14ac:dyDescent="0.2">
      <c r="C71" t="s">
        <v>49</v>
      </c>
      <c r="D71">
        <f>SUM(D63:D70)</f>
        <v>83</v>
      </c>
      <c r="H71" s="2"/>
    </row>
    <row r="74" spans="2:10" x14ac:dyDescent="0.2">
      <c r="C74" t="s">
        <v>56</v>
      </c>
      <c r="D74">
        <f>F7</f>
        <v>65.979381443298962</v>
      </c>
    </row>
    <row r="75" spans="2:10" x14ac:dyDescent="0.2">
      <c r="C75" t="s">
        <v>47</v>
      </c>
      <c r="D75" t="s">
        <v>48</v>
      </c>
      <c r="E75" t="s">
        <v>44</v>
      </c>
      <c r="F75" t="s">
        <v>50</v>
      </c>
      <c r="H75" t="s">
        <v>54</v>
      </c>
    </row>
    <row r="76" spans="2:10" x14ac:dyDescent="0.2">
      <c r="B76">
        <v>1</v>
      </c>
      <c r="C76" t="s">
        <v>31</v>
      </c>
      <c r="D76">
        <v>8</v>
      </c>
      <c r="E76">
        <v>50</v>
      </c>
      <c r="F76">
        <f>D76/(D84/8)*100</f>
        <v>67.368421052631575</v>
      </c>
      <c r="G76">
        <f>E76*F76</f>
        <v>3368.4210526315787</v>
      </c>
      <c r="H76" s="2">
        <f>E76/D74</f>
        <v>0.75781250000000011</v>
      </c>
      <c r="J76">
        <f t="shared" si="18"/>
        <v>67</v>
      </c>
    </row>
    <row r="77" spans="2:10" x14ac:dyDescent="0.2">
      <c r="B77">
        <v>2</v>
      </c>
      <c r="C77" t="s">
        <v>28</v>
      </c>
      <c r="D77">
        <v>2</v>
      </c>
      <c r="E77">
        <v>50</v>
      </c>
      <c r="F77">
        <f>D77/(D84/8)*100</f>
        <v>16.842105263157894</v>
      </c>
      <c r="G77">
        <f t="shared" ref="G77:G83" si="28">E77*F77</f>
        <v>842.10526315789468</v>
      </c>
      <c r="H77" s="2">
        <f>E77/D74</f>
        <v>0.75781250000000011</v>
      </c>
      <c r="J77">
        <f t="shared" si="18"/>
        <v>17</v>
      </c>
    </row>
    <row r="78" spans="2:10" x14ac:dyDescent="0.2">
      <c r="B78">
        <v>3</v>
      </c>
      <c r="C78" t="s">
        <v>35</v>
      </c>
      <c r="D78">
        <v>2</v>
      </c>
      <c r="E78">
        <v>50</v>
      </c>
      <c r="F78">
        <f>D78/(D84/8)*100</f>
        <v>16.842105263157894</v>
      </c>
      <c r="G78">
        <f t="shared" si="28"/>
        <v>842.10526315789468</v>
      </c>
      <c r="H78" s="2">
        <f>E78/D74</f>
        <v>0.75781250000000011</v>
      </c>
      <c r="J78">
        <f t="shared" si="18"/>
        <v>17</v>
      </c>
    </row>
    <row r="79" spans="2:10" x14ac:dyDescent="0.2">
      <c r="B79">
        <v>4</v>
      </c>
      <c r="C79" t="s">
        <v>29</v>
      </c>
      <c r="D79">
        <v>18</v>
      </c>
      <c r="E79">
        <v>66.7</v>
      </c>
      <c r="F79">
        <f>D79/(D84/8)*100</f>
        <v>151.57894736842107</v>
      </c>
      <c r="G79">
        <f t="shared" si="28"/>
        <v>10110.315789473685</v>
      </c>
      <c r="H79" s="1">
        <f>E79/D74</f>
        <v>1.0109218750000002</v>
      </c>
      <c r="J79">
        <f t="shared" si="18"/>
        <v>152</v>
      </c>
    </row>
    <row r="80" spans="2:10" x14ac:dyDescent="0.2">
      <c r="B80">
        <v>5</v>
      </c>
      <c r="C80" t="s">
        <v>33</v>
      </c>
      <c r="D80">
        <v>11</v>
      </c>
      <c r="E80">
        <v>81.8</v>
      </c>
      <c r="F80">
        <f>D80/(D84/8)*100</f>
        <v>92.631578947368425</v>
      </c>
      <c r="G80">
        <f t="shared" si="28"/>
        <v>7577.2631578947367</v>
      </c>
      <c r="H80" s="1">
        <f>E80/D74</f>
        <v>1.2397812500000001</v>
      </c>
      <c r="J80">
        <f t="shared" si="18"/>
        <v>93</v>
      </c>
    </row>
    <row r="81" spans="2:10" x14ac:dyDescent="0.2">
      <c r="B81">
        <v>6</v>
      </c>
      <c r="C81" t="s">
        <v>30</v>
      </c>
      <c r="D81">
        <v>21</v>
      </c>
      <c r="E81">
        <v>66.7</v>
      </c>
      <c r="F81">
        <f>D81/(D84/8)*100</f>
        <v>176.84210526315789</v>
      </c>
      <c r="G81">
        <f t="shared" si="28"/>
        <v>11795.368421052632</v>
      </c>
      <c r="H81" s="1">
        <f>E81/D74</f>
        <v>1.0109218750000002</v>
      </c>
      <c r="J81">
        <f t="shared" si="18"/>
        <v>177</v>
      </c>
    </row>
    <row r="82" spans="2:10" x14ac:dyDescent="0.2">
      <c r="B82">
        <v>7</v>
      </c>
      <c r="C82" t="s">
        <v>32</v>
      </c>
      <c r="D82">
        <v>11</v>
      </c>
      <c r="E82">
        <v>81.8</v>
      </c>
      <c r="F82">
        <f>D82/(D84/8)*100</f>
        <v>92.631578947368425</v>
      </c>
      <c r="G82">
        <f t="shared" si="28"/>
        <v>7577.2631578947367</v>
      </c>
      <c r="H82" s="1">
        <f>E82/D74</f>
        <v>1.2397812500000001</v>
      </c>
      <c r="J82">
        <f t="shared" si="18"/>
        <v>93</v>
      </c>
    </row>
    <row r="83" spans="2:10" x14ac:dyDescent="0.2">
      <c r="B83">
        <v>8</v>
      </c>
      <c r="C83" t="s">
        <v>27</v>
      </c>
      <c r="D83">
        <v>22</v>
      </c>
      <c r="E83">
        <v>59.1</v>
      </c>
      <c r="F83">
        <f>D83/(D84/8)*100</f>
        <v>185.26315789473685</v>
      </c>
      <c r="G83">
        <f t="shared" si="28"/>
        <v>10949.052631578948</v>
      </c>
      <c r="H83" s="2">
        <f>E83/D74</f>
        <v>0.89573437500000008</v>
      </c>
      <c r="J83">
        <f t="shared" si="18"/>
        <v>185</v>
      </c>
    </row>
    <row r="84" spans="2:10" x14ac:dyDescent="0.2">
      <c r="C84" t="s">
        <v>49</v>
      </c>
      <c r="D84">
        <f>SUM(D76:D83)</f>
        <v>95</v>
      </c>
      <c r="H84" s="2"/>
    </row>
    <row r="87" spans="2:10" x14ac:dyDescent="0.2">
      <c r="C87" t="s">
        <v>3</v>
      </c>
      <c r="D87">
        <f>F13</f>
        <v>55.714285714285715</v>
      </c>
    </row>
    <row r="88" spans="2:10" x14ac:dyDescent="0.2">
      <c r="C88" t="s">
        <v>47</v>
      </c>
      <c r="D88" t="s">
        <v>48</v>
      </c>
      <c r="E88" t="s">
        <v>44</v>
      </c>
      <c r="F88" t="s">
        <v>50</v>
      </c>
      <c r="H88" t="s">
        <v>54</v>
      </c>
    </row>
    <row r="89" spans="2:10" x14ac:dyDescent="0.2">
      <c r="B89">
        <v>1</v>
      </c>
      <c r="C89" t="s">
        <v>31</v>
      </c>
      <c r="D89">
        <v>0</v>
      </c>
      <c r="E89">
        <v>0</v>
      </c>
      <c r="F89">
        <f>D89/(D97/8)*100</f>
        <v>0</v>
      </c>
      <c r="G89">
        <f>E89*F89</f>
        <v>0</v>
      </c>
      <c r="H89" s="2">
        <f>E89/D87</f>
        <v>0</v>
      </c>
      <c r="J89">
        <f t="shared" ref="J89:J147" si="29">ROUND(F89,0)</f>
        <v>0</v>
      </c>
    </row>
    <row r="90" spans="2:10" x14ac:dyDescent="0.2">
      <c r="B90">
        <v>2</v>
      </c>
      <c r="C90" t="s">
        <v>28</v>
      </c>
      <c r="D90">
        <v>13</v>
      </c>
      <c r="E90">
        <v>38.5</v>
      </c>
      <c r="F90">
        <f>D90/(D97/8)*100</f>
        <v>152.94117647058823</v>
      </c>
      <c r="G90">
        <f t="shared" ref="G90:G96" si="30">E90*F90</f>
        <v>5888.2352941176468</v>
      </c>
      <c r="H90" s="2">
        <f>E90/D87</f>
        <v>0.69102564102564101</v>
      </c>
      <c r="J90">
        <f t="shared" si="29"/>
        <v>153</v>
      </c>
    </row>
    <row r="91" spans="2:10" x14ac:dyDescent="0.2">
      <c r="B91">
        <v>3</v>
      </c>
      <c r="C91" t="s">
        <v>35</v>
      </c>
      <c r="D91">
        <v>2</v>
      </c>
      <c r="E91">
        <v>50</v>
      </c>
      <c r="F91">
        <f>D91/(D97/8)*100</f>
        <v>23.52941176470588</v>
      </c>
      <c r="G91">
        <f t="shared" si="30"/>
        <v>1176.4705882352939</v>
      </c>
      <c r="H91" s="2">
        <f>E91/D87</f>
        <v>0.89743589743589747</v>
      </c>
      <c r="J91">
        <f t="shared" si="29"/>
        <v>24</v>
      </c>
    </row>
    <row r="92" spans="2:10" x14ac:dyDescent="0.2">
      <c r="B92">
        <v>4</v>
      </c>
      <c r="C92" t="s">
        <v>29</v>
      </c>
      <c r="D92">
        <v>6</v>
      </c>
      <c r="E92">
        <v>83.3</v>
      </c>
      <c r="F92">
        <f>D92/(D97/8)*100</f>
        <v>70.588235294117652</v>
      </c>
      <c r="G92">
        <f t="shared" si="30"/>
        <v>5880</v>
      </c>
      <c r="H92" s="4">
        <f>E92/D87</f>
        <v>1.4951282051282051</v>
      </c>
      <c r="J92">
        <f t="shared" si="29"/>
        <v>71</v>
      </c>
    </row>
    <row r="93" spans="2:10" x14ac:dyDescent="0.2">
      <c r="B93">
        <v>5</v>
      </c>
      <c r="C93" t="s">
        <v>33</v>
      </c>
      <c r="D93">
        <v>18</v>
      </c>
      <c r="E93">
        <v>61.1</v>
      </c>
      <c r="F93">
        <f>D93/(D97/8)*100</f>
        <v>211.76470588235296</v>
      </c>
      <c r="G93">
        <f t="shared" si="30"/>
        <v>12938.823529411766</v>
      </c>
      <c r="H93" s="1">
        <f>E93/D87</f>
        <v>1.0966666666666667</v>
      </c>
      <c r="J93">
        <f t="shared" si="29"/>
        <v>212</v>
      </c>
    </row>
    <row r="94" spans="2:10" x14ac:dyDescent="0.2">
      <c r="B94">
        <v>6</v>
      </c>
      <c r="C94" t="s">
        <v>30</v>
      </c>
      <c r="D94">
        <v>8</v>
      </c>
      <c r="E94">
        <v>54.5</v>
      </c>
      <c r="F94">
        <f>D94/(D97/8)*100</f>
        <v>94.117647058823522</v>
      </c>
      <c r="G94">
        <f t="shared" si="30"/>
        <v>5129.411764705882</v>
      </c>
      <c r="H94" s="2">
        <f>E94/D87</f>
        <v>0.97820512820512817</v>
      </c>
      <c r="J94">
        <f t="shared" si="29"/>
        <v>94</v>
      </c>
    </row>
    <row r="95" spans="2:10" x14ac:dyDescent="0.2">
      <c r="B95">
        <v>7</v>
      </c>
      <c r="C95" t="s">
        <v>32</v>
      </c>
      <c r="D95">
        <v>11</v>
      </c>
      <c r="E95">
        <v>54.5</v>
      </c>
      <c r="F95">
        <f>D95/(D97/8)*100</f>
        <v>129.41176470588235</v>
      </c>
      <c r="G95">
        <f t="shared" si="30"/>
        <v>7052.9411764705883</v>
      </c>
      <c r="H95" s="2">
        <f>E95/D87</f>
        <v>0.97820512820512817</v>
      </c>
      <c r="J95">
        <f t="shared" si="29"/>
        <v>129</v>
      </c>
    </row>
    <row r="96" spans="2:10" x14ac:dyDescent="0.2">
      <c r="B96">
        <v>8</v>
      </c>
      <c r="C96" t="s">
        <v>27</v>
      </c>
      <c r="D96">
        <v>10</v>
      </c>
      <c r="E96">
        <v>80</v>
      </c>
      <c r="F96">
        <f>D96/(D97/8)*100</f>
        <v>117.64705882352942</v>
      </c>
      <c r="G96">
        <f t="shared" si="30"/>
        <v>9411.7647058823532</v>
      </c>
      <c r="H96" s="1">
        <f>E96/D87</f>
        <v>1.4358974358974359</v>
      </c>
      <c r="J96">
        <f t="shared" si="29"/>
        <v>118</v>
      </c>
    </row>
    <row r="97" spans="2:10" x14ac:dyDescent="0.2">
      <c r="C97" t="s">
        <v>49</v>
      </c>
      <c r="D97">
        <f>SUM(D89:D96)</f>
        <v>68</v>
      </c>
      <c r="H97" s="2"/>
    </row>
    <row r="100" spans="2:10" x14ac:dyDescent="0.2">
      <c r="C100" t="s">
        <v>63</v>
      </c>
      <c r="D100">
        <f>F8</f>
        <v>65.094339622641513</v>
      </c>
    </row>
    <row r="101" spans="2:10" x14ac:dyDescent="0.2">
      <c r="C101" t="s">
        <v>47</v>
      </c>
      <c r="D101" t="s">
        <v>48</v>
      </c>
      <c r="E101" t="s">
        <v>44</v>
      </c>
      <c r="F101" t="s">
        <v>50</v>
      </c>
      <c r="H101" t="s">
        <v>54</v>
      </c>
    </row>
    <row r="102" spans="2:10" x14ac:dyDescent="0.2">
      <c r="B102">
        <v>1</v>
      </c>
      <c r="C102" t="s">
        <v>31</v>
      </c>
      <c r="D102">
        <v>15</v>
      </c>
      <c r="E102">
        <v>60</v>
      </c>
      <c r="F102">
        <f>D102/(D110/8)*100</f>
        <v>113.20754716981132</v>
      </c>
      <c r="G102">
        <f>E102*F102</f>
        <v>6792.4528301886794</v>
      </c>
      <c r="H102" s="2">
        <f>E102/D100</f>
        <v>0.92173913043478251</v>
      </c>
      <c r="J102">
        <f t="shared" si="29"/>
        <v>113</v>
      </c>
    </row>
    <row r="103" spans="2:10" x14ac:dyDescent="0.2">
      <c r="B103">
        <v>2</v>
      </c>
      <c r="C103" t="s">
        <v>28</v>
      </c>
      <c r="D103">
        <v>35</v>
      </c>
      <c r="E103">
        <v>65.7</v>
      </c>
      <c r="F103">
        <f>D103/(D110/8)*100</f>
        <v>264.15094339622641</v>
      </c>
      <c r="G103">
        <f t="shared" ref="G103:G109" si="31">E103*F103</f>
        <v>17354.716981132075</v>
      </c>
      <c r="H103" s="1">
        <f>E103/D100</f>
        <v>1.009304347826087</v>
      </c>
      <c r="J103">
        <f t="shared" si="29"/>
        <v>264</v>
      </c>
    </row>
    <row r="104" spans="2:10" x14ac:dyDescent="0.2">
      <c r="B104">
        <v>3</v>
      </c>
      <c r="C104" t="s">
        <v>35</v>
      </c>
      <c r="D104">
        <v>2</v>
      </c>
      <c r="E104">
        <v>100</v>
      </c>
      <c r="F104">
        <f>D104/(D110/8)*100</f>
        <v>15.09433962264151</v>
      </c>
      <c r="G104">
        <f t="shared" si="31"/>
        <v>1509.433962264151</v>
      </c>
      <c r="H104" s="4">
        <f>E104/D100</f>
        <v>1.536231884057971</v>
      </c>
      <c r="J104">
        <f t="shared" si="29"/>
        <v>15</v>
      </c>
    </row>
    <row r="105" spans="2:10" x14ac:dyDescent="0.2">
      <c r="B105">
        <v>4</v>
      </c>
      <c r="C105" t="s">
        <v>29</v>
      </c>
      <c r="D105">
        <v>19</v>
      </c>
      <c r="E105">
        <v>73.7</v>
      </c>
      <c r="F105">
        <f>D105/(D110/8)*100</f>
        <v>143.39622641509433</v>
      </c>
      <c r="G105">
        <f t="shared" si="31"/>
        <v>10568.301886792453</v>
      </c>
      <c r="H105" s="1">
        <f>E105/D100</f>
        <v>1.1322028985507246</v>
      </c>
      <c r="J105">
        <f t="shared" si="29"/>
        <v>143</v>
      </c>
    </row>
    <row r="106" spans="2:10" x14ac:dyDescent="0.2">
      <c r="B106">
        <v>5</v>
      </c>
      <c r="C106" t="s">
        <v>33</v>
      </c>
      <c r="D106">
        <v>12</v>
      </c>
      <c r="E106">
        <v>66.7</v>
      </c>
      <c r="F106">
        <f>D106/(D110/8)*100</f>
        <v>90.566037735849065</v>
      </c>
      <c r="G106">
        <f t="shared" si="31"/>
        <v>6040.7547169811332</v>
      </c>
      <c r="H106" s="1">
        <f>E106/D100</f>
        <v>1.0246666666666666</v>
      </c>
      <c r="J106">
        <f t="shared" si="29"/>
        <v>91</v>
      </c>
    </row>
    <row r="107" spans="2:10" x14ac:dyDescent="0.2">
      <c r="B107">
        <v>6</v>
      </c>
      <c r="C107" t="s">
        <v>30</v>
      </c>
      <c r="D107">
        <v>0</v>
      </c>
      <c r="E107">
        <v>0</v>
      </c>
      <c r="F107">
        <f>D107/(D110/8)*100</f>
        <v>0</v>
      </c>
      <c r="G107">
        <f t="shared" si="31"/>
        <v>0</v>
      </c>
      <c r="H107" s="2">
        <f>E107/D100</f>
        <v>0</v>
      </c>
      <c r="J107">
        <f t="shared" si="29"/>
        <v>0</v>
      </c>
    </row>
    <row r="108" spans="2:10" x14ac:dyDescent="0.2">
      <c r="B108">
        <v>7</v>
      </c>
      <c r="C108" t="s">
        <v>32</v>
      </c>
      <c r="D108">
        <v>14</v>
      </c>
      <c r="E108">
        <v>71.400000000000006</v>
      </c>
      <c r="F108">
        <f>D108/(D110/8)*100</f>
        <v>105.66037735849056</v>
      </c>
      <c r="G108">
        <f t="shared" si="31"/>
        <v>7544.1509433962265</v>
      </c>
      <c r="H108" s="1">
        <f>E108/D100</f>
        <v>1.0968695652173914</v>
      </c>
      <c r="J108">
        <f t="shared" si="29"/>
        <v>106</v>
      </c>
    </row>
    <row r="109" spans="2:10" x14ac:dyDescent="0.2">
      <c r="B109">
        <v>8</v>
      </c>
      <c r="C109" t="s">
        <v>27</v>
      </c>
      <c r="D109">
        <v>9</v>
      </c>
      <c r="E109">
        <v>33.299999999999997</v>
      </c>
      <c r="F109">
        <f>D109/(D110/8)*100</f>
        <v>67.924528301886795</v>
      </c>
      <c r="G109">
        <f t="shared" si="31"/>
        <v>2261.8867924528299</v>
      </c>
      <c r="H109" s="2">
        <f>E109/D100</f>
        <v>0.51156521739130423</v>
      </c>
      <c r="J109">
        <f t="shared" si="29"/>
        <v>68</v>
      </c>
    </row>
    <row r="110" spans="2:10" x14ac:dyDescent="0.2">
      <c r="C110" t="s">
        <v>49</v>
      </c>
      <c r="D110">
        <f>SUM(D102:D109)</f>
        <v>106</v>
      </c>
      <c r="H110" s="2"/>
    </row>
    <row r="113" spans="2:10" x14ac:dyDescent="0.2">
      <c r="C113" t="s">
        <v>6</v>
      </c>
      <c r="D113">
        <f>F16</f>
        <v>49.038461538461533</v>
      </c>
    </row>
    <row r="114" spans="2:10" x14ac:dyDescent="0.2">
      <c r="C114" t="s">
        <v>47</v>
      </c>
      <c r="D114" t="s">
        <v>48</v>
      </c>
      <c r="E114" t="s">
        <v>44</v>
      </c>
      <c r="F114" t="s">
        <v>50</v>
      </c>
      <c r="H114" t="s">
        <v>54</v>
      </c>
    </row>
    <row r="115" spans="2:10" x14ac:dyDescent="0.2">
      <c r="B115">
        <v>1</v>
      </c>
      <c r="C115" t="s">
        <v>31</v>
      </c>
      <c r="D115">
        <v>6</v>
      </c>
      <c r="E115">
        <v>16.7</v>
      </c>
      <c r="F115">
        <f>D115/(D123/8)*100</f>
        <v>46.153846153846153</v>
      </c>
      <c r="G115">
        <f>E115*F115</f>
        <v>770.76923076923072</v>
      </c>
      <c r="H115" s="2">
        <f>E115/D113</f>
        <v>0.34054901960784317</v>
      </c>
      <c r="J115">
        <f t="shared" si="29"/>
        <v>46</v>
      </c>
    </row>
    <row r="116" spans="2:10" x14ac:dyDescent="0.2">
      <c r="B116">
        <v>2</v>
      </c>
      <c r="C116" t="s">
        <v>28</v>
      </c>
      <c r="D116">
        <v>18</v>
      </c>
      <c r="E116">
        <v>66.7</v>
      </c>
      <c r="F116">
        <f>D116/(D123/8)*100</f>
        <v>138.46153846153845</v>
      </c>
      <c r="G116">
        <f t="shared" ref="G116:G122" si="32">E116*F116</f>
        <v>9235.3846153846152</v>
      </c>
      <c r="H116" s="1">
        <f>E116/D113</f>
        <v>1.3601568627450982</v>
      </c>
      <c r="J116">
        <f t="shared" si="29"/>
        <v>138</v>
      </c>
    </row>
    <row r="117" spans="2:10" x14ac:dyDescent="0.2">
      <c r="B117">
        <v>3</v>
      </c>
      <c r="C117" t="s">
        <v>35</v>
      </c>
      <c r="D117">
        <v>1</v>
      </c>
      <c r="E117">
        <v>0</v>
      </c>
      <c r="F117">
        <f>D117/(D123/8)*100</f>
        <v>7.6923076923076925</v>
      </c>
      <c r="G117">
        <f t="shared" si="32"/>
        <v>0</v>
      </c>
      <c r="H117" s="2">
        <f>E117/D113</f>
        <v>0</v>
      </c>
      <c r="J117">
        <f t="shared" si="29"/>
        <v>8</v>
      </c>
    </row>
    <row r="118" spans="2:10" x14ac:dyDescent="0.2">
      <c r="B118">
        <v>4</v>
      </c>
      <c r="C118" t="s">
        <v>29</v>
      </c>
      <c r="D118">
        <v>16</v>
      </c>
      <c r="E118">
        <v>25</v>
      </c>
      <c r="F118">
        <f>D118/(D123/8)*100</f>
        <v>123.07692307692308</v>
      </c>
      <c r="G118">
        <f t="shared" si="32"/>
        <v>3076.9230769230771</v>
      </c>
      <c r="H118" s="2">
        <f>E118/D113</f>
        <v>0.50980392156862753</v>
      </c>
      <c r="J118">
        <f t="shared" si="29"/>
        <v>123</v>
      </c>
    </row>
    <row r="119" spans="2:10" x14ac:dyDescent="0.2">
      <c r="B119">
        <v>5</v>
      </c>
      <c r="C119" t="s">
        <v>33</v>
      </c>
      <c r="D119">
        <v>16</v>
      </c>
      <c r="E119">
        <v>68.8</v>
      </c>
      <c r="F119">
        <f>D119/(D123/8)*100</f>
        <v>123.07692307692308</v>
      </c>
      <c r="G119">
        <f t="shared" si="32"/>
        <v>8467.6923076923067</v>
      </c>
      <c r="H119" s="1">
        <f>E119/D113</f>
        <v>1.4029803921568629</v>
      </c>
      <c r="J119">
        <f t="shared" si="29"/>
        <v>123</v>
      </c>
    </row>
    <row r="120" spans="2:10" x14ac:dyDescent="0.2">
      <c r="B120">
        <v>6</v>
      </c>
      <c r="C120" t="s">
        <v>30</v>
      </c>
      <c r="D120">
        <v>19</v>
      </c>
      <c r="E120">
        <v>52.6</v>
      </c>
      <c r="F120">
        <f>D120/(D123/8)*100</f>
        <v>146.15384615384613</v>
      </c>
      <c r="G120">
        <f t="shared" si="32"/>
        <v>7687.6923076923067</v>
      </c>
      <c r="H120" s="1">
        <f>E120/D113</f>
        <v>1.0726274509803924</v>
      </c>
      <c r="J120">
        <f t="shared" si="29"/>
        <v>146</v>
      </c>
    </row>
    <row r="121" spans="2:10" x14ac:dyDescent="0.2">
      <c r="B121">
        <v>7</v>
      </c>
      <c r="C121" t="s">
        <v>32</v>
      </c>
      <c r="D121">
        <v>9</v>
      </c>
      <c r="E121">
        <v>33.299999999999997</v>
      </c>
      <c r="F121">
        <f>D121/(D123/8)*100</f>
        <v>69.230769230769226</v>
      </c>
      <c r="G121">
        <f t="shared" si="32"/>
        <v>2305.3846153846152</v>
      </c>
      <c r="H121" s="2">
        <f>E121/D113</f>
        <v>0.67905882352941183</v>
      </c>
      <c r="J121">
        <f t="shared" si="29"/>
        <v>69</v>
      </c>
    </row>
    <row r="122" spans="2:10" x14ac:dyDescent="0.2">
      <c r="B122">
        <v>8</v>
      </c>
      <c r="C122" t="s">
        <v>27</v>
      </c>
      <c r="D122">
        <v>19</v>
      </c>
      <c r="E122">
        <v>52.6</v>
      </c>
      <c r="F122">
        <f>D122/(D123/8)*100</f>
        <v>146.15384615384613</v>
      </c>
      <c r="G122">
        <f t="shared" si="32"/>
        <v>7687.6923076923067</v>
      </c>
      <c r="H122" s="1">
        <f>E122/D113</f>
        <v>1.0726274509803924</v>
      </c>
      <c r="J122">
        <f t="shared" si="29"/>
        <v>146</v>
      </c>
    </row>
    <row r="123" spans="2:10" x14ac:dyDescent="0.2">
      <c r="C123" t="s">
        <v>49</v>
      </c>
      <c r="D123">
        <f>SUM(D115:D122)</f>
        <v>104</v>
      </c>
      <c r="H123" s="2"/>
    </row>
    <row r="126" spans="2:10" x14ac:dyDescent="0.2">
      <c r="C126" t="s">
        <v>68</v>
      </c>
      <c r="D126">
        <f>F11</f>
        <v>62.62626262626263</v>
      </c>
    </row>
    <row r="127" spans="2:10" x14ac:dyDescent="0.2">
      <c r="C127" t="s">
        <v>47</v>
      </c>
      <c r="D127" t="s">
        <v>48</v>
      </c>
      <c r="E127" t="s">
        <v>44</v>
      </c>
      <c r="F127" t="s">
        <v>50</v>
      </c>
      <c r="H127" t="s">
        <v>54</v>
      </c>
    </row>
    <row r="128" spans="2:10" x14ac:dyDescent="0.2">
      <c r="B128">
        <v>1</v>
      </c>
      <c r="C128" t="s">
        <v>31</v>
      </c>
      <c r="D128">
        <v>12</v>
      </c>
      <c r="E128">
        <v>58.3</v>
      </c>
      <c r="F128">
        <f>D128/(D136/8)*100</f>
        <v>96.969696969696969</v>
      </c>
      <c r="G128">
        <f>E128*F128</f>
        <v>5653.333333333333</v>
      </c>
      <c r="H128" s="2">
        <f>E128/D126</f>
        <v>0.93091935483870958</v>
      </c>
      <c r="J128">
        <f t="shared" si="29"/>
        <v>97</v>
      </c>
    </row>
    <row r="129" spans="2:10" x14ac:dyDescent="0.2">
      <c r="B129">
        <v>2</v>
      </c>
      <c r="C129" t="s">
        <v>28</v>
      </c>
      <c r="D129">
        <v>2</v>
      </c>
      <c r="E129">
        <v>50</v>
      </c>
      <c r="F129">
        <f>D129/(D136/8)*100</f>
        <v>16.161616161616163</v>
      </c>
      <c r="G129">
        <f t="shared" ref="G129:G135" si="33">E129*F129</f>
        <v>808.08080808080808</v>
      </c>
      <c r="H129" s="2">
        <f>E129/D126</f>
        <v>0.79838709677419351</v>
      </c>
      <c r="J129">
        <f t="shared" si="29"/>
        <v>16</v>
      </c>
    </row>
    <row r="130" spans="2:10" x14ac:dyDescent="0.2">
      <c r="B130">
        <v>3</v>
      </c>
      <c r="C130" t="s">
        <v>35</v>
      </c>
      <c r="D130">
        <v>2</v>
      </c>
      <c r="E130">
        <v>0</v>
      </c>
      <c r="F130">
        <f>D130/(D136/8)*100</f>
        <v>16.161616161616163</v>
      </c>
      <c r="G130">
        <f t="shared" si="33"/>
        <v>0</v>
      </c>
      <c r="H130" s="2">
        <f>E130/D126</f>
        <v>0</v>
      </c>
      <c r="J130">
        <f t="shared" si="29"/>
        <v>16</v>
      </c>
    </row>
    <row r="131" spans="2:10" x14ac:dyDescent="0.2">
      <c r="B131">
        <v>4</v>
      </c>
      <c r="C131" t="s">
        <v>29</v>
      </c>
      <c r="D131">
        <v>13</v>
      </c>
      <c r="E131">
        <v>69.2</v>
      </c>
      <c r="F131">
        <f>D131/(D136/8)*100</f>
        <v>105.05050505050507</v>
      </c>
      <c r="G131">
        <f t="shared" si="33"/>
        <v>7269.4949494949506</v>
      </c>
      <c r="H131" s="1">
        <f>E131/D126</f>
        <v>1.1049677419354837</v>
      </c>
      <c r="J131">
        <f t="shared" si="29"/>
        <v>105</v>
      </c>
    </row>
    <row r="132" spans="2:10" x14ac:dyDescent="0.2">
      <c r="B132">
        <v>5</v>
      </c>
      <c r="C132" t="s">
        <v>33</v>
      </c>
      <c r="D132">
        <v>16</v>
      </c>
      <c r="E132">
        <v>50</v>
      </c>
      <c r="F132">
        <f>D132/(D136/8)*100</f>
        <v>129.2929292929293</v>
      </c>
      <c r="G132">
        <f t="shared" si="33"/>
        <v>6464.6464646464647</v>
      </c>
      <c r="H132" s="2">
        <f>E132/D126</f>
        <v>0.79838709677419351</v>
      </c>
      <c r="J132">
        <f t="shared" si="29"/>
        <v>129</v>
      </c>
    </row>
    <row r="133" spans="2:10" x14ac:dyDescent="0.2">
      <c r="B133">
        <v>6</v>
      </c>
      <c r="C133" t="s">
        <v>30</v>
      </c>
      <c r="D133">
        <v>16</v>
      </c>
      <c r="E133">
        <v>81.2</v>
      </c>
      <c r="F133">
        <f>D133/(D136/8)*100</f>
        <v>129.2929292929293</v>
      </c>
      <c r="G133">
        <f t="shared" si="33"/>
        <v>10498.58585858586</v>
      </c>
      <c r="H133" s="1">
        <f>E133/D126</f>
        <v>1.2965806451612902</v>
      </c>
      <c r="J133">
        <f t="shared" si="29"/>
        <v>129</v>
      </c>
    </row>
    <row r="134" spans="2:10" x14ac:dyDescent="0.2">
      <c r="B134">
        <v>7</v>
      </c>
      <c r="C134" t="s">
        <v>32</v>
      </c>
      <c r="D134">
        <v>14</v>
      </c>
      <c r="E134">
        <v>50</v>
      </c>
      <c r="F134">
        <f>D134/(D136/8)*100</f>
        <v>113.13131313131312</v>
      </c>
      <c r="G134">
        <f t="shared" si="33"/>
        <v>5656.5656565656564</v>
      </c>
      <c r="H134" s="2">
        <f>E134/D126</f>
        <v>0.79838709677419351</v>
      </c>
      <c r="J134">
        <f t="shared" si="29"/>
        <v>113</v>
      </c>
    </row>
    <row r="135" spans="2:10" x14ac:dyDescent="0.2">
      <c r="B135">
        <v>8</v>
      </c>
      <c r="C135" t="s">
        <v>27</v>
      </c>
      <c r="D135">
        <v>24</v>
      </c>
      <c r="E135">
        <v>70.8</v>
      </c>
      <c r="F135">
        <f>D135/(D136/8)*100</f>
        <v>193.93939393939394</v>
      </c>
      <c r="G135">
        <f t="shared" si="33"/>
        <v>13730.90909090909</v>
      </c>
      <c r="H135" s="1">
        <f>E135/D126</f>
        <v>1.1305161290322578</v>
      </c>
      <c r="J135">
        <f t="shared" si="29"/>
        <v>194</v>
      </c>
    </row>
    <row r="136" spans="2:10" x14ac:dyDescent="0.2">
      <c r="C136" t="s">
        <v>49</v>
      </c>
      <c r="D136">
        <f>SUM(D128:D135)</f>
        <v>99</v>
      </c>
      <c r="H136" s="2"/>
    </row>
    <row r="139" spans="2:10" x14ac:dyDescent="0.2">
      <c r="C139" t="s">
        <v>69</v>
      </c>
      <c r="D139">
        <f>F10</f>
        <v>63.333333333333329</v>
      </c>
    </row>
    <row r="140" spans="2:10" x14ac:dyDescent="0.2">
      <c r="C140" t="s">
        <v>47</v>
      </c>
      <c r="D140" t="s">
        <v>48</v>
      </c>
      <c r="E140" t="s">
        <v>44</v>
      </c>
      <c r="F140" t="s">
        <v>50</v>
      </c>
      <c r="H140" t="s">
        <v>54</v>
      </c>
    </row>
    <row r="141" spans="2:10" x14ac:dyDescent="0.2">
      <c r="B141">
        <v>1</v>
      </c>
      <c r="C141" t="s">
        <v>31</v>
      </c>
      <c r="D141">
        <v>15</v>
      </c>
      <c r="E141">
        <v>53.3</v>
      </c>
      <c r="F141">
        <f>D141/(D149/8)*100</f>
        <v>134.83146067415731</v>
      </c>
      <c r="G141">
        <f>E141*F141</f>
        <v>7186.5168539325841</v>
      </c>
      <c r="H141" s="2">
        <f>E141/D139</f>
        <v>0.84157894736842109</v>
      </c>
      <c r="J141">
        <f t="shared" si="29"/>
        <v>135</v>
      </c>
    </row>
    <row r="142" spans="2:10" x14ac:dyDescent="0.2">
      <c r="B142">
        <v>2</v>
      </c>
      <c r="C142" t="s">
        <v>28</v>
      </c>
      <c r="D142">
        <v>23</v>
      </c>
      <c r="E142">
        <v>60.9</v>
      </c>
      <c r="F142">
        <f>D142/(D149/8)*100</f>
        <v>206.74157303370788</v>
      </c>
      <c r="G142">
        <f t="shared" ref="G142:G148" si="34">E142*F142</f>
        <v>12590.561797752809</v>
      </c>
      <c r="H142" s="2">
        <f>E142/D139</f>
        <v>0.96157894736842109</v>
      </c>
      <c r="J142">
        <f t="shared" si="29"/>
        <v>207</v>
      </c>
    </row>
    <row r="143" spans="2:10" x14ac:dyDescent="0.2">
      <c r="B143">
        <v>3</v>
      </c>
      <c r="C143" t="s">
        <v>35</v>
      </c>
      <c r="D143">
        <v>0</v>
      </c>
      <c r="E143">
        <v>0</v>
      </c>
      <c r="F143">
        <f>D143/(D149/8)*100</f>
        <v>0</v>
      </c>
      <c r="G143">
        <f t="shared" si="34"/>
        <v>0</v>
      </c>
      <c r="H143" s="2">
        <f>E143/D139</f>
        <v>0</v>
      </c>
      <c r="J143">
        <f t="shared" si="29"/>
        <v>0</v>
      </c>
    </row>
    <row r="144" spans="2:10" x14ac:dyDescent="0.2">
      <c r="B144">
        <v>4</v>
      </c>
      <c r="C144" t="s">
        <v>29</v>
      </c>
      <c r="D144">
        <v>12</v>
      </c>
      <c r="E144">
        <v>50</v>
      </c>
      <c r="F144">
        <f>D144/(D149/8)*100</f>
        <v>107.86516853932584</v>
      </c>
      <c r="G144">
        <f t="shared" si="34"/>
        <v>5393.2584269662921</v>
      </c>
      <c r="H144" s="2">
        <f>E144/D139</f>
        <v>0.78947368421052633</v>
      </c>
      <c r="J144">
        <f t="shared" si="29"/>
        <v>108</v>
      </c>
    </row>
    <row r="145" spans="2:10" x14ac:dyDescent="0.2">
      <c r="B145">
        <v>5</v>
      </c>
      <c r="C145" t="s">
        <v>33</v>
      </c>
      <c r="D145">
        <v>14</v>
      </c>
      <c r="E145">
        <v>71.400000000000006</v>
      </c>
      <c r="F145">
        <f>D145/(D149/8)*100</f>
        <v>125.84269662921348</v>
      </c>
      <c r="G145">
        <f t="shared" si="34"/>
        <v>8985.1685393258431</v>
      </c>
      <c r="H145" s="1">
        <f>E145/D139</f>
        <v>1.1273684210526318</v>
      </c>
      <c r="J145">
        <f t="shared" si="29"/>
        <v>126</v>
      </c>
    </row>
    <row r="146" spans="2:10" x14ac:dyDescent="0.2">
      <c r="B146">
        <v>6</v>
      </c>
      <c r="C146" t="s">
        <v>30</v>
      </c>
      <c r="D146">
        <v>10</v>
      </c>
      <c r="E146">
        <v>70</v>
      </c>
      <c r="F146">
        <f>D146/(D149/8)*100</f>
        <v>89.887640449438194</v>
      </c>
      <c r="G146">
        <f t="shared" si="34"/>
        <v>6292.1348314606739</v>
      </c>
      <c r="H146" s="1">
        <f>E146/D139</f>
        <v>1.1052631578947369</v>
      </c>
      <c r="J146">
        <f t="shared" si="29"/>
        <v>90</v>
      </c>
    </row>
    <row r="147" spans="2:10" x14ac:dyDescent="0.2">
      <c r="B147">
        <v>7</v>
      </c>
      <c r="C147" t="s">
        <v>32</v>
      </c>
      <c r="D147">
        <v>15</v>
      </c>
      <c r="E147">
        <v>73.3</v>
      </c>
      <c r="F147">
        <f>D147/(D149/8)*100</f>
        <v>134.83146067415731</v>
      </c>
      <c r="G147">
        <f t="shared" si="34"/>
        <v>9883.1460674157315</v>
      </c>
      <c r="H147" s="1">
        <f>E147/D139</f>
        <v>1.1573684210526316</v>
      </c>
      <c r="J147">
        <f t="shared" si="29"/>
        <v>135</v>
      </c>
    </row>
    <row r="148" spans="2:10" x14ac:dyDescent="0.2">
      <c r="B148">
        <v>8</v>
      </c>
      <c r="C148" t="s">
        <v>27</v>
      </c>
      <c r="D148">
        <v>0</v>
      </c>
      <c r="E148">
        <v>0</v>
      </c>
      <c r="F148">
        <f>D148/(D149/8)*100</f>
        <v>0</v>
      </c>
      <c r="G148">
        <f t="shared" si="34"/>
        <v>0</v>
      </c>
      <c r="H148" s="2">
        <f>E148/D139</f>
        <v>0</v>
      </c>
    </row>
    <row r="149" spans="2:10" x14ac:dyDescent="0.2">
      <c r="C149" t="s">
        <v>49</v>
      </c>
      <c r="D149">
        <f>SUM(D141:D148)</f>
        <v>89</v>
      </c>
      <c r="H149" s="2"/>
    </row>
    <row r="152" spans="2:10" x14ac:dyDescent="0.2">
      <c r="C152" t="s">
        <v>71</v>
      </c>
      <c r="D152">
        <f>F15</f>
        <v>49.473684210526315</v>
      </c>
    </row>
    <row r="153" spans="2:10" x14ac:dyDescent="0.2">
      <c r="C153" t="s">
        <v>47</v>
      </c>
      <c r="D153" t="s">
        <v>48</v>
      </c>
      <c r="E153" t="s">
        <v>44</v>
      </c>
      <c r="F153" t="s">
        <v>50</v>
      </c>
      <c r="H153" t="s">
        <v>54</v>
      </c>
    </row>
    <row r="154" spans="2:10" x14ac:dyDescent="0.2">
      <c r="B154">
        <v>1</v>
      </c>
      <c r="C154" t="s">
        <v>31</v>
      </c>
      <c r="D154">
        <v>9</v>
      </c>
      <c r="E154">
        <v>33.299999999999997</v>
      </c>
      <c r="F154">
        <f>D154/(D162/8)*100</f>
        <v>75.789473684210535</v>
      </c>
      <c r="G154">
        <f>E154*F154</f>
        <v>2523.7894736842104</v>
      </c>
      <c r="H154" s="2">
        <f>E154/D152</f>
        <v>0.67308510638297869</v>
      </c>
      <c r="J154">
        <f t="shared" ref="J154:J187" si="35">ROUND(F154,0)</f>
        <v>76</v>
      </c>
    </row>
    <row r="155" spans="2:10" x14ac:dyDescent="0.2">
      <c r="B155">
        <v>2</v>
      </c>
      <c r="C155" t="s">
        <v>28</v>
      </c>
      <c r="D155">
        <v>24</v>
      </c>
      <c r="E155">
        <v>45.8</v>
      </c>
      <c r="F155">
        <f>D155/(D162/8)*100</f>
        <v>202.10526315789474</v>
      </c>
      <c r="G155">
        <f t="shared" ref="G155:G161" si="36">E155*F155</f>
        <v>9256.4210526315783</v>
      </c>
      <c r="H155" s="2">
        <f>E155/D152</f>
        <v>0.92574468085106376</v>
      </c>
      <c r="J155">
        <f t="shared" si="35"/>
        <v>202</v>
      </c>
    </row>
    <row r="156" spans="2:10" x14ac:dyDescent="0.2">
      <c r="B156">
        <v>3</v>
      </c>
      <c r="C156" t="s">
        <v>35</v>
      </c>
      <c r="D156">
        <v>2</v>
      </c>
      <c r="E156">
        <v>100</v>
      </c>
      <c r="F156">
        <f>D156/(D162/8)*100</f>
        <v>16.842105263157894</v>
      </c>
      <c r="G156">
        <f t="shared" si="36"/>
        <v>1684.2105263157894</v>
      </c>
      <c r="H156" s="4">
        <f>E156/D152</f>
        <v>2.021276595744681</v>
      </c>
      <c r="J156">
        <f t="shared" si="35"/>
        <v>17</v>
      </c>
    </row>
    <row r="157" spans="2:10" x14ac:dyDescent="0.2">
      <c r="B157">
        <v>4</v>
      </c>
      <c r="C157" t="s">
        <v>29</v>
      </c>
      <c r="D157">
        <v>8</v>
      </c>
      <c r="E157">
        <v>37.5</v>
      </c>
      <c r="F157">
        <f>D157/(D162/8)*100</f>
        <v>67.368421052631575</v>
      </c>
      <c r="G157">
        <f t="shared" si="36"/>
        <v>2526.3157894736842</v>
      </c>
      <c r="H157" s="2">
        <f>E157/D152</f>
        <v>0.75797872340425532</v>
      </c>
      <c r="J157">
        <f t="shared" si="35"/>
        <v>67</v>
      </c>
    </row>
    <row r="158" spans="2:10" x14ac:dyDescent="0.2">
      <c r="B158">
        <v>5</v>
      </c>
      <c r="C158" t="s">
        <v>33</v>
      </c>
      <c r="D158">
        <v>12</v>
      </c>
      <c r="E158">
        <v>66.7</v>
      </c>
      <c r="F158">
        <f>D158/(D162/8)*100</f>
        <v>101.05263157894737</v>
      </c>
      <c r="G158">
        <f t="shared" si="36"/>
        <v>6740.21052631579</v>
      </c>
      <c r="H158" s="1">
        <f>E158/D152</f>
        <v>1.3481914893617022</v>
      </c>
      <c r="J158">
        <f t="shared" si="35"/>
        <v>101</v>
      </c>
    </row>
    <row r="159" spans="2:10" x14ac:dyDescent="0.2">
      <c r="B159">
        <v>6</v>
      </c>
      <c r="C159" t="s">
        <v>30</v>
      </c>
      <c r="D159">
        <v>11</v>
      </c>
      <c r="E159">
        <v>45.5</v>
      </c>
      <c r="F159">
        <f>D159/(D162/8)*100</f>
        <v>92.631578947368425</v>
      </c>
      <c r="G159">
        <f t="shared" si="36"/>
        <v>4214.7368421052633</v>
      </c>
      <c r="H159" s="2">
        <f>E159/D152</f>
        <v>0.9196808510638298</v>
      </c>
      <c r="J159">
        <f t="shared" si="35"/>
        <v>93</v>
      </c>
    </row>
    <row r="160" spans="2:10" x14ac:dyDescent="0.2">
      <c r="B160">
        <v>7</v>
      </c>
      <c r="C160" t="s">
        <v>32</v>
      </c>
      <c r="D160">
        <v>6</v>
      </c>
      <c r="E160">
        <v>50</v>
      </c>
      <c r="F160">
        <f>D160/(D162/8)*100</f>
        <v>50.526315789473685</v>
      </c>
      <c r="G160">
        <f t="shared" si="36"/>
        <v>2526.3157894736842</v>
      </c>
      <c r="H160" s="4">
        <f>E160/D152</f>
        <v>1.0106382978723405</v>
      </c>
      <c r="J160">
        <f t="shared" si="35"/>
        <v>51</v>
      </c>
    </row>
    <row r="161" spans="2:10" x14ac:dyDescent="0.2">
      <c r="B161">
        <v>8</v>
      </c>
      <c r="C161" t="s">
        <v>27</v>
      </c>
      <c r="D161">
        <v>23</v>
      </c>
      <c r="E161">
        <v>52.2</v>
      </c>
      <c r="F161">
        <f>D161/(D162/8)*100</f>
        <v>193.68421052631578</v>
      </c>
      <c r="G161">
        <f t="shared" si="36"/>
        <v>10110.315789473685</v>
      </c>
      <c r="H161" s="1">
        <f>E161/D152</f>
        <v>1.0551063829787235</v>
      </c>
      <c r="J161">
        <f t="shared" si="35"/>
        <v>194</v>
      </c>
    </row>
    <row r="162" spans="2:10" x14ac:dyDescent="0.2">
      <c r="C162" t="s">
        <v>49</v>
      </c>
      <c r="D162">
        <f>SUM(D154:D161)</f>
        <v>95</v>
      </c>
      <c r="H162" s="2"/>
    </row>
    <row r="165" spans="2:10" x14ac:dyDescent="0.2">
      <c r="C165" t="s">
        <v>70</v>
      </c>
      <c r="D165">
        <f>F14</f>
        <v>54.022988505747129</v>
      </c>
    </row>
    <row r="166" spans="2:10" x14ac:dyDescent="0.2">
      <c r="C166" t="s">
        <v>47</v>
      </c>
      <c r="D166" t="s">
        <v>48</v>
      </c>
      <c r="E166" t="s">
        <v>44</v>
      </c>
      <c r="F166" t="s">
        <v>50</v>
      </c>
      <c r="H166" t="s">
        <v>54</v>
      </c>
    </row>
    <row r="167" spans="2:10" x14ac:dyDescent="0.2">
      <c r="B167">
        <v>1</v>
      </c>
      <c r="C167" t="s">
        <v>31</v>
      </c>
      <c r="D167">
        <v>18</v>
      </c>
      <c r="E167">
        <v>55.6</v>
      </c>
      <c r="F167">
        <f>D167/(D175/8)*100</f>
        <v>165.51724137931035</v>
      </c>
      <c r="G167">
        <f>E167*F167</f>
        <v>9202.7586206896558</v>
      </c>
      <c r="H167" s="1">
        <f>E167/D165</f>
        <v>1.029191489361702</v>
      </c>
      <c r="J167">
        <f t="shared" si="35"/>
        <v>166</v>
      </c>
    </row>
    <row r="168" spans="2:10" x14ac:dyDescent="0.2">
      <c r="B168">
        <v>2</v>
      </c>
      <c r="C168" t="s">
        <v>28</v>
      </c>
      <c r="D168">
        <v>13</v>
      </c>
      <c r="E168">
        <v>30.8</v>
      </c>
      <c r="F168">
        <f>D168/(D175/8)*100</f>
        <v>119.54022988505749</v>
      </c>
      <c r="G168">
        <f t="shared" ref="G168:G174" si="37">E168*F168</f>
        <v>3681.8390804597707</v>
      </c>
      <c r="H168" s="2">
        <f>E168/D165</f>
        <v>0.57012765957446809</v>
      </c>
      <c r="J168">
        <f t="shared" si="35"/>
        <v>120</v>
      </c>
    </row>
    <row r="169" spans="2:10" x14ac:dyDescent="0.2">
      <c r="B169">
        <v>3</v>
      </c>
      <c r="C169" t="s">
        <v>35</v>
      </c>
      <c r="D169">
        <v>0</v>
      </c>
      <c r="E169">
        <v>0</v>
      </c>
      <c r="F169">
        <f>D169/(D175/8)*100</f>
        <v>0</v>
      </c>
      <c r="G169">
        <f t="shared" si="37"/>
        <v>0</v>
      </c>
      <c r="H169" s="2">
        <f>E169/D165</f>
        <v>0</v>
      </c>
      <c r="J169">
        <f t="shared" si="35"/>
        <v>0</v>
      </c>
    </row>
    <row r="170" spans="2:10" x14ac:dyDescent="0.2">
      <c r="B170">
        <v>4</v>
      </c>
      <c r="C170" t="s">
        <v>29</v>
      </c>
      <c r="D170">
        <v>7</v>
      </c>
      <c r="E170">
        <v>57.1</v>
      </c>
      <c r="F170">
        <f>D170/(D175/8)*100</f>
        <v>64.367816091954026</v>
      </c>
      <c r="G170">
        <f t="shared" si="37"/>
        <v>3675.4022988505749</v>
      </c>
      <c r="H170" s="4">
        <f>E170/D165</f>
        <v>1.0569574468085106</v>
      </c>
      <c r="J170">
        <f t="shared" si="35"/>
        <v>64</v>
      </c>
    </row>
    <row r="171" spans="2:10" x14ac:dyDescent="0.2">
      <c r="B171">
        <v>5</v>
      </c>
      <c r="C171" t="s">
        <v>33</v>
      </c>
      <c r="D171">
        <v>17</v>
      </c>
      <c r="E171">
        <v>52.9</v>
      </c>
      <c r="F171">
        <f>D171/(D175/8)*100</f>
        <v>156.32183908045977</v>
      </c>
      <c r="G171">
        <f t="shared" si="37"/>
        <v>8269.4252873563219</v>
      </c>
      <c r="H171" s="2">
        <f>E171/D165</f>
        <v>0.97921276595744677</v>
      </c>
      <c r="J171">
        <f t="shared" si="35"/>
        <v>156</v>
      </c>
    </row>
    <row r="172" spans="2:10" x14ac:dyDescent="0.2">
      <c r="B172">
        <v>6</v>
      </c>
      <c r="C172" t="s">
        <v>30</v>
      </c>
      <c r="D172">
        <v>6</v>
      </c>
      <c r="E172">
        <v>50</v>
      </c>
      <c r="F172">
        <f>D172/(D175/8)*100</f>
        <v>55.172413793103445</v>
      </c>
      <c r="G172">
        <f t="shared" si="37"/>
        <v>2758.6206896551721</v>
      </c>
      <c r="H172" s="2">
        <f>E172/D165</f>
        <v>0.92553191489361697</v>
      </c>
      <c r="J172">
        <f t="shared" si="35"/>
        <v>55</v>
      </c>
    </row>
    <row r="173" spans="2:10" x14ac:dyDescent="0.2">
      <c r="B173">
        <v>7</v>
      </c>
      <c r="C173" t="s">
        <v>32</v>
      </c>
      <c r="D173">
        <v>12</v>
      </c>
      <c r="E173">
        <v>83.3</v>
      </c>
      <c r="F173">
        <f>D173/(D175/8)*100</f>
        <v>110.34482758620689</v>
      </c>
      <c r="G173">
        <f t="shared" si="37"/>
        <v>9191.7241379310344</v>
      </c>
      <c r="H173" s="1">
        <f>E173/D165</f>
        <v>1.5419361702127659</v>
      </c>
      <c r="J173">
        <f t="shared" si="35"/>
        <v>110</v>
      </c>
    </row>
    <row r="174" spans="2:10" x14ac:dyDescent="0.2">
      <c r="B174">
        <v>8</v>
      </c>
      <c r="C174" t="s">
        <v>27</v>
      </c>
      <c r="D174">
        <v>14</v>
      </c>
      <c r="E174">
        <v>50</v>
      </c>
      <c r="F174">
        <f>D174/(D175/8)*100</f>
        <v>128.73563218390805</v>
      </c>
      <c r="G174">
        <f t="shared" si="37"/>
        <v>6436.7816091954028</v>
      </c>
      <c r="H174" s="2">
        <f>E174/D165</f>
        <v>0.92553191489361697</v>
      </c>
      <c r="J174">
        <f t="shared" si="35"/>
        <v>129</v>
      </c>
    </row>
    <row r="175" spans="2:10" x14ac:dyDescent="0.2">
      <c r="C175" t="s">
        <v>49</v>
      </c>
      <c r="D175">
        <f>SUM(D167:D174)</f>
        <v>87</v>
      </c>
      <c r="H175" s="2"/>
    </row>
    <row r="178" spans="2:10" x14ac:dyDescent="0.2">
      <c r="C178" t="s">
        <v>8</v>
      </c>
      <c r="D178">
        <f>F9</f>
        <v>63.829787234042556</v>
      </c>
    </row>
    <row r="179" spans="2:10" x14ac:dyDescent="0.2">
      <c r="C179" t="s">
        <v>47</v>
      </c>
      <c r="D179" t="s">
        <v>48</v>
      </c>
      <c r="E179" t="s">
        <v>44</v>
      </c>
      <c r="F179" t="s">
        <v>50</v>
      </c>
      <c r="H179" t="s">
        <v>54</v>
      </c>
    </row>
    <row r="180" spans="2:10" x14ac:dyDescent="0.2">
      <c r="B180">
        <v>1</v>
      </c>
      <c r="C180" t="s">
        <v>31</v>
      </c>
      <c r="D180">
        <v>18</v>
      </c>
      <c r="E180">
        <v>77.7</v>
      </c>
      <c r="F180">
        <f>D180/(D188/8)*100</f>
        <v>154.83870967741936</v>
      </c>
      <c r="G180">
        <f>E180*F180</f>
        <v>12030.967741935485</v>
      </c>
      <c r="H180" s="1">
        <f>E180/D178</f>
        <v>1.2173</v>
      </c>
      <c r="J180">
        <f t="shared" si="35"/>
        <v>155</v>
      </c>
    </row>
    <row r="181" spans="2:10" x14ac:dyDescent="0.2">
      <c r="B181">
        <v>2</v>
      </c>
      <c r="C181" t="s">
        <v>28</v>
      </c>
      <c r="D181">
        <v>19</v>
      </c>
      <c r="E181">
        <v>63.2</v>
      </c>
      <c r="F181">
        <f>D181/(D188/8)*100</f>
        <v>163.44086021505376</v>
      </c>
      <c r="G181">
        <f t="shared" ref="G181:G187" si="38">E181*F181</f>
        <v>10329.462365591398</v>
      </c>
      <c r="H181" s="2">
        <f>E181/D178</f>
        <v>0.99013333333333331</v>
      </c>
      <c r="J181">
        <f t="shared" si="35"/>
        <v>163</v>
      </c>
    </row>
    <row r="182" spans="2:10" x14ac:dyDescent="0.2">
      <c r="B182">
        <v>3</v>
      </c>
      <c r="C182" t="s">
        <v>35</v>
      </c>
      <c r="D182">
        <v>0</v>
      </c>
      <c r="E182">
        <v>0</v>
      </c>
      <c r="F182">
        <f>D182/(D188/8)*100</f>
        <v>0</v>
      </c>
      <c r="G182">
        <f t="shared" si="38"/>
        <v>0</v>
      </c>
      <c r="H182" s="2">
        <f>E182/D178</f>
        <v>0</v>
      </c>
      <c r="J182">
        <f t="shared" si="35"/>
        <v>0</v>
      </c>
    </row>
    <row r="183" spans="2:10" x14ac:dyDescent="0.2">
      <c r="B183">
        <v>4</v>
      </c>
      <c r="C183" t="s">
        <v>29</v>
      </c>
      <c r="D183">
        <v>14</v>
      </c>
      <c r="E183">
        <v>57.1</v>
      </c>
      <c r="F183">
        <f>D183/(D188/8)*100</f>
        <v>120.43010752688173</v>
      </c>
      <c r="G183">
        <f t="shared" si="38"/>
        <v>6876.5591397849466</v>
      </c>
      <c r="H183" s="2">
        <f>E183/D178</f>
        <v>0.89456666666666662</v>
      </c>
      <c r="J183">
        <f t="shared" si="35"/>
        <v>120</v>
      </c>
    </row>
    <row r="184" spans="2:10" x14ac:dyDescent="0.2">
      <c r="B184">
        <v>5</v>
      </c>
      <c r="C184" t="s">
        <v>33</v>
      </c>
      <c r="D184">
        <v>15</v>
      </c>
      <c r="E184">
        <v>40</v>
      </c>
      <c r="F184">
        <f>D184/(D188/8)*100</f>
        <v>129.03225806451613</v>
      </c>
      <c r="G184">
        <f t="shared" si="38"/>
        <v>5161.2903225806449</v>
      </c>
      <c r="H184" s="2">
        <f>E184/D178</f>
        <v>0.62666666666666659</v>
      </c>
      <c r="J184">
        <f t="shared" si="35"/>
        <v>129</v>
      </c>
    </row>
    <row r="185" spans="2:10" x14ac:dyDescent="0.2">
      <c r="B185">
        <v>6</v>
      </c>
      <c r="C185" t="s">
        <v>30</v>
      </c>
      <c r="D185">
        <v>7</v>
      </c>
      <c r="E185">
        <v>57.1</v>
      </c>
      <c r="F185">
        <f>D185/(D188/8)*100</f>
        <v>60.215053763440864</v>
      </c>
      <c r="G185">
        <f t="shared" si="38"/>
        <v>3438.2795698924733</v>
      </c>
      <c r="H185" s="2">
        <f>E185/D178</f>
        <v>0.89456666666666662</v>
      </c>
      <c r="J185">
        <f t="shared" si="35"/>
        <v>60</v>
      </c>
    </row>
    <row r="186" spans="2:10" x14ac:dyDescent="0.2">
      <c r="B186">
        <v>7</v>
      </c>
      <c r="C186" t="s">
        <v>32</v>
      </c>
      <c r="D186">
        <v>4</v>
      </c>
      <c r="E186">
        <v>75</v>
      </c>
      <c r="F186">
        <f>D186/(D188/8)*100</f>
        <v>34.408602150537639</v>
      </c>
      <c r="G186">
        <f t="shared" si="38"/>
        <v>2580.6451612903229</v>
      </c>
      <c r="H186" s="4">
        <f>E186/D178</f>
        <v>1.175</v>
      </c>
      <c r="J186">
        <f t="shared" si="35"/>
        <v>34</v>
      </c>
    </row>
    <row r="187" spans="2:10" x14ac:dyDescent="0.2">
      <c r="B187">
        <v>8</v>
      </c>
      <c r="C187" t="s">
        <v>27</v>
      </c>
      <c r="D187">
        <v>16</v>
      </c>
      <c r="E187">
        <v>75</v>
      </c>
      <c r="F187">
        <f>D187/(D188/8)*100</f>
        <v>137.63440860215056</v>
      </c>
      <c r="G187">
        <f t="shared" si="38"/>
        <v>10322.580645161292</v>
      </c>
      <c r="H187" s="1">
        <f>E187/D178</f>
        <v>1.175</v>
      </c>
      <c r="J187">
        <f t="shared" si="35"/>
        <v>138</v>
      </c>
    </row>
    <row r="188" spans="2:10" x14ac:dyDescent="0.2">
      <c r="C188" t="s">
        <v>49</v>
      </c>
      <c r="D188">
        <f>SUM(D180:D187)</f>
        <v>93</v>
      </c>
      <c r="H188" s="2"/>
    </row>
    <row r="189" spans="2:10" x14ac:dyDescent="0.2">
      <c r="H189" s="4"/>
    </row>
    <row r="193" spans="8:8" x14ac:dyDescent="0.2">
      <c r="H193" s="2"/>
    </row>
    <row r="194" spans="8:8" x14ac:dyDescent="0.2">
      <c r="H194" s="2"/>
    </row>
    <row r="195" spans="8:8" x14ac:dyDescent="0.2">
      <c r="H195" s="2"/>
    </row>
    <row r="196" spans="8:8" x14ac:dyDescent="0.2">
      <c r="H196" s="2"/>
    </row>
    <row r="197" spans="8:8" x14ac:dyDescent="0.2">
      <c r="H197" s="2"/>
    </row>
    <row r="198" spans="8:8" x14ac:dyDescent="0.2">
      <c r="H198" s="2"/>
    </row>
    <row r="199" spans="8:8" x14ac:dyDescent="0.2">
      <c r="H199" s="2"/>
    </row>
    <row r="200" spans="8:8" x14ac:dyDescent="0.2">
      <c r="H200" s="2"/>
    </row>
    <row r="201" spans="8:8" x14ac:dyDescent="0.2">
      <c r="H201" s="2"/>
    </row>
  </sheetData>
  <sortState ref="B6:F21">
    <sortCondition descending="1" ref="F6:F18"/>
  </sortState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1"/>
  <sheetViews>
    <sheetView showRuler="0" topLeftCell="J1" zoomScale="107" workbookViewId="0">
      <selection activeCell="J10" sqref="J10"/>
    </sheetView>
  </sheetViews>
  <sheetFormatPr baseColWidth="10" defaultRowHeight="16" x14ac:dyDescent="0.2"/>
  <sheetData>
    <row r="1" spans="1:27" x14ac:dyDescent="0.2">
      <c r="C1" t="s">
        <v>38</v>
      </c>
      <c r="D1" t="s">
        <v>39</v>
      </c>
    </row>
    <row r="2" spans="1:27" x14ac:dyDescent="0.2">
      <c r="D2">
        <v>2017</v>
      </c>
      <c r="M2" s="1"/>
      <c r="X2" s="1"/>
    </row>
    <row r="3" spans="1:27" x14ac:dyDescent="0.2">
      <c r="M3" s="1"/>
      <c r="X3" s="1"/>
    </row>
    <row r="4" spans="1:27" x14ac:dyDescent="0.2">
      <c r="M4" s="1"/>
      <c r="X4" s="1"/>
    </row>
    <row r="5" spans="1:27" x14ac:dyDescent="0.2">
      <c r="A5" t="s">
        <v>44</v>
      </c>
      <c r="C5" t="s">
        <v>43</v>
      </c>
      <c r="D5" t="s">
        <v>40</v>
      </c>
      <c r="E5" t="s">
        <v>41</v>
      </c>
      <c r="F5" t="s">
        <v>42</v>
      </c>
      <c r="K5" s="3" t="s">
        <v>2</v>
      </c>
      <c r="L5" s="3" t="s">
        <v>5</v>
      </c>
      <c r="M5" s="3" t="s">
        <v>12</v>
      </c>
      <c r="N5" s="3" t="s">
        <v>8</v>
      </c>
      <c r="O5" s="3" t="s">
        <v>4</v>
      </c>
      <c r="P5" s="3" t="s">
        <v>10</v>
      </c>
      <c r="Q5" s="3" t="s">
        <v>7</v>
      </c>
      <c r="R5" s="3" t="s">
        <v>3</v>
      </c>
      <c r="S5" s="3" t="s">
        <v>9</v>
      </c>
      <c r="T5" s="3" t="s">
        <v>11</v>
      </c>
      <c r="U5" s="3" t="s">
        <v>6</v>
      </c>
      <c r="V5" s="3" t="s">
        <v>1</v>
      </c>
      <c r="W5" s="3" t="s">
        <v>0</v>
      </c>
      <c r="X5" s="3" t="s">
        <v>93</v>
      </c>
      <c r="Y5" s="3" t="s">
        <v>94</v>
      </c>
      <c r="Z5" s="3" t="s">
        <v>97</v>
      </c>
    </row>
    <row r="6" spans="1:27" x14ac:dyDescent="0.2">
      <c r="A6" t="s">
        <v>45</v>
      </c>
      <c r="B6">
        <v>4</v>
      </c>
      <c r="C6" s="3" t="s">
        <v>2</v>
      </c>
      <c r="D6">
        <v>63</v>
      </c>
      <c r="E6">
        <v>32</v>
      </c>
      <c r="F6">
        <f t="shared" ref="F6:F21" si="0">D6/(D6+E6)*100</f>
        <v>66.315789473684205</v>
      </c>
      <c r="J6" t="s">
        <v>31</v>
      </c>
      <c r="K6">
        <f t="shared" ref="K6:K13" si="1">H24</f>
        <v>4423.2631578947367</v>
      </c>
      <c r="L6" s="2">
        <f>H76</f>
        <v>3298.9690721649481</v>
      </c>
      <c r="M6" s="2">
        <f>H102</f>
        <v>4147.727272727273</v>
      </c>
      <c r="N6">
        <f>H180</f>
        <v>4567.7551020408164</v>
      </c>
      <c r="O6">
        <f>H141</f>
        <v>3375.6666666666661</v>
      </c>
      <c r="P6">
        <f>H128</f>
        <v>3651.1111111111113</v>
      </c>
      <c r="Q6">
        <f>H63</f>
        <v>3710.0000000000005</v>
      </c>
      <c r="R6">
        <f>H89</f>
        <v>0</v>
      </c>
      <c r="S6">
        <f>H167</f>
        <v>3003.6781609195405</v>
      </c>
      <c r="T6">
        <f>H154</f>
        <v>1647.4736842105262</v>
      </c>
      <c r="U6">
        <f>H115</f>
        <v>818.94230769230762</v>
      </c>
      <c r="V6">
        <f>H50</f>
        <v>2443.1818181818185</v>
      </c>
      <c r="W6">
        <f>H37</f>
        <v>1714.2857142857142</v>
      </c>
      <c r="X6">
        <f>S24</f>
        <v>3766.3551401869154</v>
      </c>
      <c r="Y6">
        <f>S37</f>
        <v>5247.7358490566039</v>
      </c>
      <c r="Z6">
        <f>S50</f>
        <v>2500</v>
      </c>
      <c r="AA6" t="s">
        <v>31</v>
      </c>
    </row>
    <row r="7" spans="1:27" x14ac:dyDescent="0.2">
      <c r="A7" t="s">
        <v>46</v>
      </c>
      <c r="B7">
        <v>1</v>
      </c>
      <c r="C7" s="3" t="s">
        <v>5</v>
      </c>
      <c r="D7">
        <v>64</v>
      </c>
      <c r="E7">
        <v>33</v>
      </c>
      <c r="F7">
        <f t="shared" si="0"/>
        <v>65.979381443298962</v>
      </c>
      <c r="J7" t="s">
        <v>28</v>
      </c>
      <c r="K7">
        <f t="shared" si="1"/>
        <v>5524.1052631578941</v>
      </c>
      <c r="L7" s="2">
        <f t="shared" ref="L7:L13" si="2">H77</f>
        <v>3298.9690721649481</v>
      </c>
      <c r="M7" s="2">
        <f t="shared" ref="M7:M13" si="3">H103</f>
        <v>4360.0909090909099</v>
      </c>
      <c r="N7">
        <f t="shared" ref="N7:N13" si="4">H181</f>
        <v>3998.3673469387759</v>
      </c>
      <c r="O7">
        <f t="shared" ref="O7:O13" si="5">H142</f>
        <v>3856.9999999999995</v>
      </c>
      <c r="P7">
        <f t="shared" ref="P7:P13" si="6">H129</f>
        <v>3131.3131313131316</v>
      </c>
      <c r="Q7">
        <f t="shared" ref="Q7:Q13" si="7">H64</f>
        <v>2916.666666666667</v>
      </c>
      <c r="R7">
        <f t="shared" ref="R7:R13" si="8">H90</f>
        <v>2145</v>
      </c>
      <c r="S7">
        <f t="shared" ref="S7:S13" si="9">H168</f>
        <v>1663.9080459770116</v>
      </c>
      <c r="T7">
        <f t="shared" ref="T7:T13" si="10">H155</f>
        <v>2265.894736842105</v>
      </c>
      <c r="U7">
        <f t="shared" ref="U7:U13" si="11">H116</f>
        <v>3270.8653846153843</v>
      </c>
      <c r="V7">
        <f t="shared" ref="V7:V13" si="12">H51</f>
        <v>2037.6136363636367</v>
      </c>
      <c r="W7">
        <f t="shared" ref="W7:W13" si="13">H38</f>
        <v>2142.8571428571427</v>
      </c>
      <c r="X7">
        <f t="shared" ref="X7:X13" si="14">S25</f>
        <v>3476.6355140186911</v>
      </c>
      <c r="Y7">
        <f t="shared" ref="Y7:Y13" si="15">S38</f>
        <v>5798.6792452830186</v>
      </c>
      <c r="Z7">
        <f t="shared" ref="Z7:Z13" si="16">S51</f>
        <v>2500</v>
      </c>
      <c r="AA7" t="s">
        <v>28</v>
      </c>
    </row>
    <row r="8" spans="1:27" x14ac:dyDescent="0.2">
      <c r="B8" s="2"/>
      <c r="C8" s="3" t="s">
        <v>12</v>
      </c>
      <c r="D8">
        <v>73</v>
      </c>
      <c r="E8">
        <v>37</v>
      </c>
      <c r="F8">
        <f t="shared" si="0"/>
        <v>66.363636363636374</v>
      </c>
      <c r="J8" t="s">
        <v>35</v>
      </c>
      <c r="K8" s="8">
        <f t="shared" si="1"/>
        <v>6631.5789473684208</v>
      </c>
      <c r="L8" s="2">
        <f t="shared" si="2"/>
        <v>3298.9690721649481</v>
      </c>
      <c r="M8" s="4">
        <f t="shared" si="3"/>
        <v>6636.3636363636379</v>
      </c>
      <c r="N8">
        <f t="shared" si="4"/>
        <v>0</v>
      </c>
      <c r="O8">
        <f t="shared" si="5"/>
        <v>0</v>
      </c>
      <c r="P8">
        <f t="shared" si="6"/>
        <v>0</v>
      </c>
      <c r="Q8">
        <f t="shared" si="7"/>
        <v>0</v>
      </c>
      <c r="R8">
        <f t="shared" si="8"/>
        <v>2785.7142857142858</v>
      </c>
      <c r="S8">
        <f t="shared" si="9"/>
        <v>0</v>
      </c>
      <c r="T8" s="4">
        <f t="shared" si="10"/>
        <v>4947.3684210526317</v>
      </c>
      <c r="U8">
        <f t="shared" si="11"/>
        <v>0</v>
      </c>
      <c r="V8" s="4">
        <f t="shared" si="12"/>
        <v>3909.0909090909095</v>
      </c>
      <c r="W8" s="8">
        <f t="shared" si="13"/>
        <v>0</v>
      </c>
      <c r="X8" s="4">
        <f t="shared" si="14"/>
        <v>5794.3925233644859</v>
      </c>
      <c r="Y8" s="4">
        <f t="shared" si="15"/>
        <v>3443.3962264150941</v>
      </c>
      <c r="Z8" s="4">
        <f t="shared" si="16"/>
        <v>3750</v>
      </c>
      <c r="AA8" t="s">
        <v>35</v>
      </c>
    </row>
    <row r="9" spans="1:27" x14ac:dyDescent="0.2">
      <c r="B9">
        <v>15</v>
      </c>
      <c r="C9" s="3" t="s">
        <v>8</v>
      </c>
      <c r="D9">
        <v>62</v>
      </c>
      <c r="E9">
        <v>36</v>
      </c>
      <c r="F9">
        <f t="shared" si="0"/>
        <v>63.265306122448983</v>
      </c>
      <c r="J9" t="s">
        <v>29</v>
      </c>
      <c r="K9">
        <f t="shared" si="1"/>
        <v>3534.6315789473679</v>
      </c>
      <c r="L9" s="2">
        <f t="shared" si="2"/>
        <v>4400.8247422680406</v>
      </c>
      <c r="M9" s="2">
        <f t="shared" si="3"/>
        <v>4891.0000000000009</v>
      </c>
      <c r="N9">
        <f t="shared" si="4"/>
        <v>3612.4489795918371</v>
      </c>
      <c r="O9">
        <f t="shared" si="5"/>
        <v>3166.6666666666665</v>
      </c>
      <c r="P9">
        <f t="shared" si="6"/>
        <v>4333.7373737373746</v>
      </c>
      <c r="Q9">
        <f t="shared" si="7"/>
        <v>4538.333333333333</v>
      </c>
      <c r="R9" s="4">
        <f t="shared" si="8"/>
        <v>4641</v>
      </c>
      <c r="S9" s="4">
        <f t="shared" si="9"/>
        <v>3084.7126436781614</v>
      </c>
      <c r="T9">
        <f t="shared" si="10"/>
        <v>1855.2631578947369</v>
      </c>
      <c r="U9">
        <f t="shared" si="11"/>
        <v>1225.9615384615383</v>
      </c>
      <c r="V9">
        <f t="shared" si="12"/>
        <v>1627.1590909090908</v>
      </c>
      <c r="W9">
        <f t="shared" si="13"/>
        <v>2142.8571428571427</v>
      </c>
      <c r="X9">
        <f t="shared" si="14"/>
        <v>643.17757009345792</v>
      </c>
      <c r="Y9">
        <f t="shared" si="15"/>
        <v>3705.0943396226412</v>
      </c>
      <c r="Z9">
        <f t="shared" si="16"/>
        <v>2220</v>
      </c>
      <c r="AA9" t="s">
        <v>29</v>
      </c>
    </row>
    <row r="10" spans="1:27" x14ac:dyDescent="0.2">
      <c r="B10">
        <v>5</v>
      </c>
      <c r="C10" s="3" t="s">
        <v>4</v>
      </c>
      <c r="D10">
        <v>57</v>
      </c>
      <c r="E10">
        <v>33</v>
      </c>
      <c r="F10">
        <f t="shared" si="0"/>
        <v>63.333333333333329</v>
      </c>
      <c r="J10" t="s">
        <v>33</v>
      </c>
      <c r="K10" s="8">
        <f t="shared" si="1"/>
        <v>0</v>
      </c>
      <c r="L10" s="2">
        <f t="shared" si="2"/>
        <v>5397.1134020618547</v>
      </c>
      <c r="M10" s="2">
        <f t="shared" si="3"/>
        <v>4426.454545454546</v>
      </c>
      <c r="N10">
        <f t="shared" si="4"/>
        <v>2771.0204081632651</v>
      </c>
      <c r="O10">
        <f t="shared" si="5"/>
        <v>4522</v>
      </c>
      <c r="P10">
        <f t="shared" si="6"/>
        <v>3131.3131313131316</v>
      </c>
      <c r="Q10">
        <f t="shared" si="7"/>
        <v>2916.666666666667</v>
      </c>
      <c r="R10">
        <f t="shared" si="8"/>
        <v>3404.1428571428573</v>
      </c>
      <c r="S10">
        <f t="shared" si="9"/>
        <v>2857.8160919540232</v>
      </c>
      <c r="T10">
        <f t="shared" si="10"/>
        <v>3299.8947368421054</v>
      </c>
      <c r="U10">
        <f t="shared" si="11"/>
        <v>3373.8461538461534</v>
      </c>
      <c r="V10">
        <f t="shared" si="12"/>
        <v>0</v>
      </c>
      <c r="W10" s="8">
        <f t="shared" si="13"/>
        <v>0</v>
      </c>
      <c r="X10">
        <f t="shared" si="14"/>
        <v>3586.7289719626165</v>
      </c>
      <c r="Y10">
        <f t="shared" si="15"/>
        <v>5853.7735849056598</v>
      </c>
      <c r="Z10">
        <f t="shared" si="16"/>
        <v>1664.9999999999998</v>
      </c>
      <c r="AA10" t="s">
        <v>33</v>
      </c>
    </row>
    <row r="11" spans="1:27" x14ac:dyDescent="0.2">
      <c r="B11">
        <v>2</v>
      </c>
      <c r="C11" s="3" t="s">
        <v>10</v>
      </c>
      <c r="D11">
        <v>62</v>
      </c>
      <c r="E11">
        <v>37</v>
      </c>
      <c r="F11">
        <f t="shared" si="0"/>
        <v>62.62626262626263</v>
      </c>
      <c r="J11" t="s">
        <v>30</v>
      </c>
      <c r="K11">
        <f t="shared" si="1"/>
        <v>5305.2631578947367</v>
      </c>
      <c r="L11" s="2">
        <f t="shared" si="2"/>
        <v>4400.8247422680406</v>
      </c>
      <c r="M11" s="2">
        <f t="shared" si="3"/>
        <v>0</v>
      </c>
      <c r="N11">
        <f t="shared" si="4"/>
        <v>3612.4489795918371</v>
      </c>
      <c r="O11">
        <f t="shared" si="5"/>
        <v>4433.333333333333</v>
      </c>
      <c r="P11">
        <f t="shared" si="6"/>
        <v>5085.2525252525256</v>
      </c>
      <c r="Q11" s="4">
        <f t="shared" si="7"/>
        <v>5833.3333333333339</v>
      </c>
      <c r="R11">
        <f t="shared" si="8"/>
        <v>3036.4285714285716</v>
      </c>
      <c r="S11">
        <f t="shared" si="9"/>
        <v>2701.1494252873563</v>
      </c>
      <c r="T11">
        <f t="shared" si="10"/>
        <v>2251.0526315789475</v>
      </c>
      <c r="U11">
        <f t="shared" si="11"/>
        <v>2579.4230769230767</v>
      </c>
      <c r="V11">
        <f t="shared" si="12"/>
        <v>2716.818181818182</v>
      </c>
      <c r="W11">
        <f t="shared" si="13"/>
        <v>1427.1428571428569</v>
      </c>
      <c r="X11" s="4">
        <f t="shared" si="14"/>
        <v>0</v>
      </c>
      <c r="Y11" s="4">
        <f t="shared" si="15"/>
        <v>0</v>
      </c>
      <c r="Z11" s="4">
        <f t="shared" si="16"/>
        <v>2500</v>
      </c>
      <c r="AA11" t="s">
        <v>30</v>
      </c>
    </row>
    <row r="12" spans="1:27" x14ac:dyDescent="0.2">
      <c r="C12" s="3" t="s">
        <v>7</v>
      </c>
      <c r="D12">
        <v>49</v>
      </c>
      <c r="E12">
        <v>35</v>
      </c>
      <c r="F12">
        <f t="shared" si="0"/>
        <v>58.333333333333336</v>
      </c>
      <c r="J12" t="s">
        <v>32</v>
      </c>
      <c r="K12">
        <f t="shared" si="1"/>
        <v>3315.7894736842104</v>
      </c>
      <c r="L12" s="2">
        <f t="shared" si="2"/>
        <v>5397.1134020618547</v>
      </c>
      <c r="M12" s="2">
        <f t="shared" si="3"/>
        <v>4891.0000000000009</v>
      </c>
      <c r="N12" s="4">
        <f t="shared" si="4"/>
        <v>4744.8979591836742</v>
      </c>
      <c r="O12">
        <f t="shared" si="5"/>
        <v>4642.333333333333</v>
      </c>
      <c r="P12">
        <f t="shared" si="6"/>
        <v>3131.3131313131316</v>
      </c>
      <c r="Q12">
        <f t="shared" si="7"/>
        <v>2916.666666666667</v>
      </c>
      <c r="R12">
        <f t="shared" si="8"/>
        <v>3036.4285714285716</v>
      </c>
      <c r="S12">
        <f t="shared" si="9"/>
        <v>4500.1149425287358</v>
      </c>
      <c r="T12" s="4">
        <f t="shared" si="10"/>
        <v>2473.6842105263158</v>
      </c>
      <c r="U12">
        <f t="shared" si="11"/>
        <v>1632.9807692307688</v>
      </c>
      <c r="V12">
        <f t="shared" si="12"/>
        <v>0</v>
      </c>
      <c r="W12" s="8">
        <f t="shared" si="13"/>
        <v>0</v>
      </c>
      <c r="X12">
        <f t="shared" si="14"/>
        <v>3308.5981308411215</v>
      </c>
      <c r="Y12">
        <f t="shared" si="15"/>
        <v>4593.4905660377362</v>
      </c>
      <c r="Z12">
        <f t="shared" si="16"/>
        <v>2780</v>
      </c>
      <c r="AA12" t="s">
        <v>32</v>
      </c>
    </row>
    <row r="13" spans="1:27" x14ac:dyDescent="0.2">
      <c r="C13" s="3" t="s">
        <v>3</v>
      </c>
      <c r="D13">
        <v>39</v>
      </c>
      <c r="E13">
        <v>31</v>
      </c>
      <c r="F13">
        <f t="shared" si="0"/>
        <v>55.714285714285715</v>
      </c>
      <c r="J13" t="s">
        <v>27</v>
      </c>
      <c r="K13">
        <f t="shared" si="1"/>
        <v>3899.3684210526312</v>
      </c>
      <c r="L13" s="2">
        <f t="shared" si="2"/>
        <v>3899.3814432989689</v>
      </c>
      <c r="M13" s="2">
        <f t="shared" si="3"/>
        <v>3318.1818181818189</v>
      </c>
      <c r="N13">
        <f t="shared" si="4"/>
        <v>4466.5306122448983</v>
      </c>
      <c r="O13">
        <f t="shared" si="5"/>
        <v>0</v>
      </c>
      <c r="P13">
        <f t="shared" si="6"/>
        <v>4433.939393939394</v>
      </c>
      <c r="Q13">
        <f t="shared" si="7"/>
        <v>2916.666666666667</v>
      </c>
      <c r="R13">
        <f t="shared" si="8"/>
        <v>4457.1428571428569</v>
      </c>
      <c r="S13">
        <f t="shared" si="9"/>
        <v>2701.1494252873563</v>
      </c>
      <c r="T13">
        <f t="shared" si="10"/>
        <v>2582.5263157894738</v>
      </c>
      <c r="U13">
        <f t="shared" si="11"/>
        <v>2579.4230769230767</v>
      </c>
      <c r="V13">
        <f t="shared" si="12"/>
        <v>2848.75</v>
      </c>
      <c r="W13">
        <f t="shared" si="13"/>
        <v>2635.7142857142853</v>
      </c>
      <c r="X13">
        <f t="shared" si="14"/>
        <v>3662.0560747663549</v>
      </c>
      <c r="Y13">
        <f t="shared" si="15"/>
        <v>2837.3584905660377</v>
      </c>
      <c r="Z13">
        <f t="shared" si="16"/>
        <v>2895</v>
      </c>
      <c r="AA13" t="s">
        <v>27</v>
      </c>
    </row>
    <row r="14" spans="1:27" x14ac:dyDescent="0.2">
      <c r="C14" s="3" t="s">
        <v>9</v>
      </c>
      <c r="D14">
        <v>47</v>
      </c>
      <c r="E14">
        <v>40</v>
      </c>
      <c r="F14">
        <f t="shared" si="0"/>
        <v>54.022988505747129</v>
      </c>
      <c r="L14" s="2"/>
      <c r="M14" s="2"/>
    </row>
    <row r="15" spans="1:27" x14ac:dyDescent="0.2">
      <c r="C15" s="3" t="s">
        <v>11</v>
      </c>
      <c r="D15">
        <v>47</v>
      </c>
      <c r="E15">
        <v>48</v>
      </c>
      <c r="F15">
        <f t="shared" si="0"/>
        <v>49.473684210526315</v>
      </c>
      <c r="L15" s="2"/>
      <c r="M15" s="2"/>
      <c r="Q15" t="s">
        <v>12</v>
      </c>
      <c r="R15" t="s">
        <v>93</v>
      </c>
    </row>
    <row r="16" spans="1:27" x14ac:dyDescent="0.2">
      <c r="C16" s="3" t="s">
        <v>6</v>
      </c>
      <c r="D16">
        <v>51</v>
      </c>
      <c r="E16">
        <v>53</v>
      </c>
      <c r="F16">
        <f t="shared" si="0"/>
        <v>49.038461538461533</v>
      </c>
      <c r="L16" s="2"/>
      <c r="M16" s="2"/>
      <c r="N16">
        <f>SUM(N10,N6,N11)</f>
        <v>10951.224489795917</v>
      </c>
      <c r="O16">
        <f>SUM(Z10,Z6,Z11)</f>
        <v>6665</v>
      </c>
      <c r="Q16">
        <f>SUM(M7,M12,M13)</f>
        <v>12569.272727272732</v>
      </c>
      <c r="R16">
        <f>SUM(X7,X12,X13)</f>
        <v>10447.289719626167</v>
      </c>
    </row>
    <row r="17" spans="1:21" x14ac:dyDescent="0.2">
      <c r="B17">
        <v>17</v>
      </c>
      <c r="C17" s="3" t="s">
        <v>1</v>
      </c>
      <c r="D17">
        <v>43</v>
      </c>
      <c r="E17">
        <v>45</v>
      </c>
      <c r="F17">
        <f t="shared" si="0"/>
        <v>48.863636363636367</v>
      </c>
      <c r="L17" s="2"/>
      <c r="M17" s="2"/>
      <c r="N17">
        <f>SUM(N16,O16)</f>
        <v>17616.224489795917</v>
      </c>
      <c r="Q17">
        <f>SUM(Q16,R16)</f>
        <v>23016.562446898897</v>
      </c>
    </row>
    <row r="18" spans="1:21" x14ac:dyDescent="0.2">
      <c r="B18">
        <v>16</v>
      </c>
      <c r="C18" s="3" t="s">
        <v>0</v>
      </c>
      <c r="D18">
        <v>30</v>
      </c>
      <c r="E18">
        <v>40</v>
      </c>
      <c r="F18">
        <f t="shared" si="0"/>
        <v>42.857142857142854</v>
      </c>
      <c r="L18" s="2"/>
      <c r="M18" s="2"/>
      <c r="N18">
        <f>N16/N17*100</f>
        <v>62.165559346381748</v>
      </c>
      <c r="O18">
        <f>O16/N17*100</f>
        <v>37.834440653618245</v>
      </c>
      <c r="Q18">
        <f>Q16/Q17*100</f>
        <v>54.609687073258996</v>
      </c>
      <c r="R18">
        <f>R16/Q17*100</f>
        <v>45.390312926741011</v>
      </c>
    </row>
    <row r="19" spans="1:21" x14ac:dyDescent="0.2">
      <c r="C19" s="3" t="s">
        <v>93</v>
      </c>
      <c r="D19">
        <v>62</v>
      </c>
      <c r="E19">
        <v>45</v>
      </c>
      <c r="F19">
        <f t="shared" si="0"/>
        <v>57.943925233644855</v>
      </c>
      <c r="L19" s="2"/>
      <c r="M19" s="2"/>
      <c r="Q19">
        <v>1.33</v>
      </c>
      <c r="R19">
        <v>3.07</v>
      </c>
    </row>
    <row r="20" spans="1:21" x14ac:dyDescent="0.2">
      <c r="C20" s="3" t="s">
        <v>94</v>
      </c>
      <c r="D20">
        <v>73</v>
      </c>
      <c r="E20">
        <v>33</v>
      </c>
      <c r="F20">
        <f t="shared" si="0"/>
        <v>68.867924528301884</v>
      </c>
      <c r="L20" s="2"/>
      <c r="M20" s="2"/>
    </row>
    <row r="21" spans="1:21" x14ac:dyDescent="0.2">
      <c r="C21" s="3" t="s">
        <v>95</v>
      </c>
      <c r="D21">
        <v>52</v>
      </c>
      <c r="E21">
        <v>52</v>
      </c>
      <c r="F21">
        <f t="shared" si="0"/>
        <v>50</v>
      </c>
    </row>
    <row r="22" spans="1:21" x14ac:dyDescent="0.2">
      <c r="C22" t="s">
        <v>2</v>
      </c>
      <c r="D22">
        <f>F6</f>
        <v>66.315789473684205</v>
      </c>
      <c r="N22" t="s">
        <v>93</v>
      </c>
      <c r="O22">
        <f>F19</f>
        <v>57.943925233644855</v>
      </c>
    </row>
    <row r="23" spans="1:21" x14ac:dyDescent="0.2">
      <c r="C23" t="s">
        <v>47</v>
      </c>
      <c r="D23" t="s">
        <v>48</v>
      </c>
      <c r="E23" t="s">
        <v>44</v>
      </c>
      <c r="F23" t="s">
        <v>50</v>
      </c>
      <c r="H23" t="s">
        <v>54</v>
      </c>
      <c r="I23" t="s">
        <v>55</v>
      </c>
      <c r="N23" t="s">
        <v>47</v>
      </c>
      <c r="O23" t="s">
        <v>48</v>
      </c>
      <c r="P23" t="s">
        <v>44</v>
      </c>
      <c r="Q23" t="s">
        <v>50</v>
      </c>
      <c r="S23" t="s">
        <v>54</v>
      </c>
      <c r="T23" t="s">
        <v>55</v>
      </c>
    </row>
    <row r="24" spans="1:21" x14ac:dyDescent="0.2">
      <c r="A24" s="2">
        <f>D6/(D6+E6)*100</f>
        <v>66.315789473684205</v>
      </c>
      <c r="B24" s="2">
        <v>1</v>
      </c>
      <c r="C24" t="s">
        <v>31</v>
      </c>
      <c r="D24" s="2">
        <v>15</v>
      </c>
      <c r="E24" s="2">
        <v>66.7</v>
      </c>
      <c r="F24" s="2">
        <f>D24/(D32/8)*100</f>
        <v>126.31578947368421</v>
      </c>
      <c r="G24" s="2">
        <f>E24*F24</f>
        <v>8425.2631578947367</v>
      </c>
      <c r="H24" s="2">
        <f>E24*A24</f>
        <v>4423.2631578947367</v>
      </c>
      <c r="I24" s="2">
        <f>H24*D22</f>
        <v>293332.18836565095</v>
      </c>
      <c r="J24">
        <f>ROUND(F24,0)</f>
        <v>126</v>
      </c>
      <c r="L24">
        <f>D19/(D19+E19)*100</f>
        <v>57.943925233644855</v>
      </c>
      <c r="M24">
        <v>1</v>
      </c>
      <c r="N24" t="s">
        <v>31</v>
      </c>
      <c r="O24">
        <v>20</v>
      </c>
      <c r="P24">
        <v>65</v>
      </c>
      <c r="Q24">
        <f>O24/(O32/8)*100</f>
        <v>152.38095238095238</v>
      </c>
      <c r="R24">
        <f>P24*Q24</f>
        <v>9904.7619047619046</v>
      </c>
      <c r="S24" s="2">
        <f>P24*L24</f>
        <v>3766.3551401869154</v>
      </c>
      <c r="U24">
        <f>ROUND(Q24,0)</f>
        <v>152</v>
      </c>
    </row>
    <row r="25" spans="1:21" x14ac:dyDescent="0.2">
      <c r="A25" s="2">
        <f>D6/(D6+E6)*100</f>
        <v>66.315789473684205</v>
      </c>
      <c r="B25" s="2">
        <v>2</v>
      </c>
      <c r="C25" t="s">
        <v>28</v>
      </c>
      <c r="D25" s="2">
        <v>18</v>
      </c>
      <c r="E25" s="2">
        <v>83.3</v>
      </c>
      <c r="F25" s="2">
        <f>D25/(D32/8)*100</f>
        <v>151.57894736842107</v>
      </c>
      <c r="G25" s="2">
        <f t="shared" ref="G25:G31" si="17">E25*F25</f>
        <v>12626.526315789475</v>
      </c>
      <c r="H25" s="2">
        <f t="shared" ref="H25:H31" si="18">E25*A25</f>
        <v>5524.1052631578941</v>
      </c>
      <c r="I25" s="2">
        <f>H25*D22</f>
        <v>366335.40166204982</v>
      </c>
      <c r="J25">
        <f t="shared" ref="J25:J83" si="19">ROUND(F25,0)</f>
        <v>152</v>
      </c>
      <c r="L25">
        <f>D19/(D19+E19)*100</f>
        <v>57.943925233644855</v>
      </c>
      <c r="M25">
        <v>2</v>
      </c>
      <c r="N25" t="s">
        <v>28</v>
      </c>
      <c r="O25">
        <v>20</v>
      </c>
      <c r="P25">
        <v>60</v>
      </c>
      <c r="Q25">
        <f>O25/(O32/8)*100</f>
        <v>152.38095238095238</v>
      </c>
      <c r="R25">
        <f t="shared" ref="R25:R31" si="20">P25*Q25</f>
        <v>9142.8571428571431</v>
      </c>
      <c r="S25" s="2">
        <f t="shared" ref="S25:S31" si="21">P25*L25</f>
        <v>3476.6355140186911</v>
      </c>
      <c r="U25">
        <f t="shared" ref="U25:U31" si="22">ROUND(Q25,0)</f>
        <v>152</v>
      </c>
    </row>
    <row r="26" spans="1:21" x14ac:dyDescent="0.2">
      <c r="A26" s="2">
        <f>D6/(D6+E6)*100</f>
        <v>66.315789473684205</v>
      </c>
      <c r="B26" s="2">
        <v>3</v>
      </c>
      <c r="C26" s="8" t="s">
        <v>35</v>
      </c>
      <c r="D26" s="2">
        <v>1</v>
      </c>
      <c r="E26" s="2">
        <v>100</v>
      </c>
      <c r="F26" s="2">
        <f>D26/(D32/8)*100</f>
        <v>8.4210526315789469</v>
      </c>
      <c r="G26" s="2">
        <f t="shared" si="17"/>
        <v>842.10526315789468</v>
      </c>
      <c r="H26" s="2">
        <f t="shared" si="18"/>
        <v>6631.5789473684208</v>
      </c>
      <c r="I26" s="2"/>
      <c r="J26" s="8">
        <f t="shared" si="19"/>
        <v>8</v>
      </c>
      <c r="L26">
        <f>D19/(D19+E19)*100</f>
        <v>57.943925233644855</v>
      </c>
      <c r="M26">
        <v>3</v>
      </c>
      <c r="N26" t="s">
        <v>35</v>
      </c>
      <c r="O26">
        <v>2</v>
      </c>
      <c r="P26">
        <v>100</v>
      </c>
      <c r="Q26">
        <f>O26/(O32/8)*100</f>
        <v>15.238095238095239</v>
      </c>
      <c r="R26">
        <f t="shared" si="20"/>
        <v>1523.8095238095239</v>
      </c>
      <c r="S26" s="2">
        <f t="shared" si="21"/>
        <v>5794.3925233644859</v>
      </c>
      <c r="U26" s="8">
        <f t="shared" si="22"/>
        <v>15</v>
      </c>
    </row>
    <row r="27" spans="1:21" x14ac:dyDescent="0.2">
      <c r="A27" s="2">
        <f>D6/(D6+E6)*100</f>
        <v>66.315789473684205</v>
      </c>
      <c r="B27" s="2">
        <v>4</v>
      </c>
      <c r="C27" t="s">
        <v>29</v>
      </c>
      <c r="D27" s="2">
        <v>15</v>
      </c>
      <c r="E27" s="2">
        <v>53.3</v>
      </c>
      <c r="F27" s="2">
        <f>D27/(D32/8)*100</f>
        <v>126.31578947368421</v>
      </c>
      <c r="G27" s="2">
        <f t="shared" si="17"/>
        <v>6732.6315789473674</v>
      </c>
      <c r="H27" s="2">
        <f t="shared" si="18"/>
        <v>3534.6315789473679</v>
      </c>
      <c r="I27" s="2"/>
      <c r="J27">
        <f t="shared" si="19"/>
        <v>126</v>
      </c>
      <c r="L27">
        <f>D19/(D19+E19)*100</f>
        <v>57.943925233644855</v>
      </c>
      <c r="M27">
        <v>4</v>
      </c>
      <c r="N27" t="s">
        <v>29</v>
      </c>
      <c r="O27">
        <v>9</v>
      </c>
      <c r="P27">
        <v>11.1</v>
      </c>
      <c r="Q27">
        <f>O27/(O32/8)*100</f>
        <v>68.571428571428569</v>
      </c>
      <c r="R27">
        <f t="shared" si="20"/>
        <v>761.14285714285711</v>
      </c>
      <c r="S27" s="2">
        <f t="shared" si="21"/>
        <v>643.17757009345792</v>
      </c>
      <c r="U27">
        <f t="shared" si="22"/>
        <v>69</v>
      </c>
    </row>
    <row r="28" spans="1:21" x14ac:dyDescent="0.2">
      <c r="A28" s="2">
        <f>D6/(D6+E6)*100</f>
        <v>66.315789473684205</v>
      </c>
      <c r="B28" s="2">
        <v>5</v>
      </c>
      <c r="C28" s="8" t="s">
        <v>33</v>
      </c>
      <c r="D28" s="2">
        <v>0</v>
      </c>
      <c r="E28" s="2">
        <v>0</v>
      </c>
      <c r="F28" s="2">
        <f>D28/(D32/8)*100</f>
        <v>0</v>
      </c>
      <c r="G28" s="2">
        <f t="shared" si="17"/>
        <v>0</v>
      </c>
      <c r="H28" s="2">
        <f t="shared" si="18"/>
        <v>0</v>
      </c>
      <c r="I28" s="2"/>
      <c r="J28" s="8">
        <f t="shared" si="19"/>
        <v>0</v>
      </c>
      <c r="L28">
        <f>D19/(D19+E19)*100</f>
        <v>57.943925233644855</v>
      </c>
      <c r="M28">
        <v>5</v>
      </c>
      <c r="N28" t="s">
        <v>33</v>
      </c>
      <c r="O28">
        <v>21</v>
      </c>
      <c r="P28">
        <v>61.9</v>
      </c>
      <c r="Q28">
        <f>O28/(O32/8)*100</f>
        <v>160</v>
      </c>
      <c r="R28">
        <f t="shared" si="20"/>
        <v>9904</v>
      </c>
      <c r="S28" s="2">
        <f t="shared" si="21"/>
        <v>3586.7289719626165</v>
      </c>
      <c r="U28">
        <f t="shared" si="22"/>
        <v>160</v>
      </c>
    </row>
    <row r="29" spans="1:21" x14ac:dyDescent="0.2">
      <c r="A29" s="2">
        <f>D6/(D6+E6)*100</f>
        <v>66.315789473684205</v>
      </c>
      <c r="B29" s="2">
        <v>6</v>
      </c>
      <c r="C29" t="s">
        <v>30</v>
      </c>
      <c r="D29" s="2">
        <v>15</v>
      </c>
      <c r="E29" s="2">
        <v>80</v>
      </c>
      <c r="F29" s="2">
        <f>D29/(D32/8)*100</f>
        <v>126.31578947368421</v>
      </c>
      <c r="G29" s="2">
        <f t="shared" si="17"/>
        <v>10105.263157894737</v>
      </c>
      <c r="H29" s="2">
        <f t="shared" si="18"/>
        <v>5305.2631578947367</v>
      </c>
      <c r="I29" s="2"/>
      <c r="J29">
        <f t="shared" si="19"/>
        <v>126</v>
      </c>
      <c r="L29">
        <f>D19/(D19+E19)*100</f>
        <v>57.943925233644855</v>
      </c>
      <c r="M29">
        <v>6</v>
      </c>
      <c r="N29" t="s">
        <v>30</v>
      </c>
      <c r="O29">
        <v>0</v>
      </c>
      <c r="P29">
        <v>0</v>
      </c>
      <c r="Q29">
        <f>O29/(O32/8)*100</f>
        <v>0</v>
      </c>
      <c r="R29">
        <f t="shared" si="20"/>
        <v>0</v>
      </c>
      <c r="S29" s="2">
        <f t="shared" si="21"/>
        <v>0</v>
      </c>
      <c r="U29" s="8">
        <f t="shared" si="22"/>
        <v>0</v>
      </c>
    </row>
    <row r="30" spans="1:21" x14ac:dyDescent="0.2">
      <c r="A30" s="2">
        <f>D6/(D6+E6)*100</f>
        <v>66.315789473684205</v>
      </c>
      <c r="B30" s="2">
        <v>7</v>
      </c>
      <c r="C30" t="s">
        <v>32</v>
      </c>
      <c r="D30" s="2">
        <v>14</v>
      </c>
      <c r="E30" s="2">
        <v>50</v>
      </c>
      <c r="F30" s="2">
        <f>D30/(D32/8)*100</f>
        <v>117.89473684210525</v>
      </c>
      <c r="G30" s="2">
        <f t="shared" si="17"/>
        <v>5894.7368421052624</v>
      </c>
      <c r="H30" s="2">
        <f t="shared" si="18"/>
        <v>3315.7894736842104</v>
      </c>
      <c r="I30" s="2"/>
      <c r="J30">
        <f t="shared" si="19"/>
        <v>118</v>
      </c>
      <c r="L30">
        <f>D19/(D19+E19)*100</f>
        <v>57.943925233644855</v>
      </c>
      <c r="M30">
        <v>7</v>
      </c>
      <c r="N30" t="s">
        <v>32</v>
      </c>
      <c r="O30">
        <v>14</v>
      </c>
      <c r="P30">
        <v>57.1</v>
      </c>
      <c r="Q30">
        <f>O30/(O32/8)*100</f>
        <v>106.66666666666667</v>
      </c>
      <c r="R30">
        <f t="shared" si="20"/>
        <v>6090.666666666667</v>
      </c>
      <c r="S30" s="2">
        <f t="shared" si="21"/>
        <v>3308.5981308411215</v>
      </c>
      <c r="U30">
        <f t="shared" si="22"/>
        <v>107</v>
      </c>
    </row>
    <row r="31" spans="1:21" x14ac:dyDescent="0.2">
      <c r="A31" s="2">
        <f>D6/(D6+E6)*100</f>
        <v>66.315789473684205</v>
      </c>
      <c r="B31" s="2">
        <v>8</v>
      </c>
      <c r="C31" t="s">
        <v>27</v>
      </c>
      <c r="D31" s="2">
        <v>17</v>
      </c>
      <c r="E31" s="2">
        <v>58.8</v>
      </c>
      <c r="F31" s="2">
        <f>D31/(D32/8)*100</f>
        <v>143.15789473684211</v>
      </c>
      <c r="G31" s="2">
        <f t="shared" si="17"/>
        <v>8417.6842105263149</v>
      </c>
      <c r="H31" s="2">
        <f t="shared" si="18"/>
        <v>3899.3684210526312</v>
      </c>
      <c r="I31" s="2"/>
      <c r="J31">
        <f t="shared" si="19"/>
        <v>143</v>
      </c>
      <c r="L31">
        <f>D19/(D19+E19)*100</f>
        <v>57.943925233644855</v>
      </c>
      <c r="M31">
        <v>8</v>
      </c>
      <c r="N31" t="s">
        <v>27</v>
      </c>
      <c r="O31">
        <v>19</v>
      </c>
      <c r="P31">
        <v>63.2</v>
      </c>
      <c r="Q31">
        <f>O31/(O32/8)*100</f>
        <v>144.76190476190476</v>
      </c>
      <c r="R31">
        <f t="shared" si="20"/>
        <v>9148.9523809523816</v>
      </c>
      <c r="S31" s="2">
        <f t="shared" si="21"/>
        <v>3662.0560747663549</v>
      </c>
      <c r="U31">
        <f t="shared" si="22"/>
        <v>145</v>
      </c>
    </row>
    <row r="32" spans="1:21" x14ac:dyDescent="0.2">
      <c r="A32" s="2"/>
      <c r="B32" s="2"/>
      <c r="C32" t="s">
        <v>49</v>
      </c>
      <c r="D32" s="2">
        <f>SUM(D24:D31)</f>
        <v>95</v>
      </c>
      <c r="E32" s="2"/>
      <c r="F32" s="2"/>
      <c r="G32" s="2"/>
      <c r="H32" s="2"/>
      <c r="I32" s="2"/>
      <c r="N32" t="s">
        <v>49</v>
      </c>
      <c r="O32">
        <f>SUM(O24:O31)</f>
        <v>105</v>
      </c>
      <c r="S32" s="2"/>
    </row>
    <row r="33" spans="1:21" x14ac:dyDescent="0.2">
      <c r="A33" s="2"/>
      <c r="B33" s="2"/>
      <c r="D33" s="2"/>
      <c r="E33" s="2"/>
      <c r="F33" s="2"/>
      <c r="G33" s="2"/>
      <c r="H33" s="2"/>
      <c r="I33" s="2"/>
      <c r="S33" s="2"/>
    </row>
    <row r="34" spans="1:21" x14ac:dyDescent="0.2">
      <c r="A34" s="2"/>
      <c r="B34" s="2"/>
      <c r="D34" s="2"/>
      <c r="E34" s="2"/>
      <c r="F34" s="2"/>
      <c r="G34" s="2"/>
      <c r="H34" s="2"/>
      <c r="I34" s="2"/>
      <c r="S34" s="2"/>
    </row>
    <row r="35" spans="1:21" x14ac:dyDescent="0.2">
      <c r="A35" s="2"/>
      <c r="B35" s="2"/>
      <c r="C35" t="s">
        <v>51</v>
      </c>
      <c r="D35" s="2">
        <f>F18</f>
        <v>42.857142857142854</v>
      </c>
      <c r="E35" s="2"/>
      <c r="F35" s="2"/>
      <c r="G35" s="2"/>
      <c r="H35" s="2"/>
      <c r="I35" s="2"/>
      <c r="N35" t="s">
        <v>96</v>
      </c>
      <c r="O35">
        <f>F20</f>
        <v>68.867924528301884</v>
      </c>
    </row>
    <row r="36" spans="1:21" x14ac:dyDescent="0.2">
      <c r="A36" s="2"/>
      <c r="B36" s="2"/>
      <c r="C36" t="s">
        <v>47</v>
      </c>
      <c r="D36" s="2" t="s">
        <v>48</v>
      </c>
      <c r="E36" s="2" t="s">
        <v>44</v>
      </c>
      <c r="F36" s="2" t="s">
        <v>50</v>
      </c>
      <c r="G36" s="2"/>
      <c r="H36" s="2" t="s">
        <v>54</v>
      </c>
      <c r="I36" s="2"/>
      <c r="N36" t="s">
        <v>47</v>
      </c>
      <c r="O36" t="s">
        <v>48</v>
      </c>
      <c r="P36" t="s">
        <v>44</v>
      </c>
      <c r="Q36" t="s">
        <v>50</v>
      </c>
      <c r="S36" t="s">
        <v>54</v>
      </c>
      <c r="T36" t="s">
        <v>55</v>
      </c>
    </row>
    <row r="37" spans="1:21" x14ac:dyDescent="0.2">
      <c r="A37" s="2">
        <f>D18/(D18+E18)*100</f>
        <v>42.857142857142854</v>
      </c>
      <c r="B37" s="2">
        <v>1</v>
      </c>
      <c r="C37" t="s">
        <v>31</v>
      </c>
      <c r="D37" s="2">
        <v>15</v>
      </c>
      <c r="E37" s="2">
        <v>40</v>
      </c>
      <c r="F37" s="2">
        <f>D37/(D45/8)*100</f>
        <v>173.91304347826087</v>
      </c>
      <c r="G37" s="2">
        <f>E37*F37</f>
        <v>6956.521739130435</v>
      </c>
      <c r="H37" s="2">
        <f>E37*A37</f>
        <v>1714.2857142857142</v>
      </c>
      <c r="I37" s="2"/>
      <c r="J37">
        <f t="shared" si="19"/>
        <v>174</v>
      </c>
      <c r="L37">
        <f>D20/(D20+E20)*100</f>
        <v>68.867924528301884</v>
      </c>
      <c r="M37">
        <v>1</v>
      </c>
      <c r="N37" t="s">
        <v>31</v>
      </c>
      <c r="O37">
        <v>21</v>
      </c>
      <c r="P37">
        <v>76.2</v>
      </c>
      <c r="Q37">
        <f>O37/(O45/8)*100</f>
        <v>160</v>
      </c>
      <c r="R37">
        <f>P37*Q37</f>
        <v>12192</v>
      </c>
      <c r="S37" s="2">
        <f>P37*L37</f>
        <v>5247.7358490566039</v>
      </c>
      <c r="U37">
        <f>ROUND(Q37,0)</f>
        <v>160</v>
      </c>
    </row>
    <row r="38" spans="1:21" x14ac:dyDescent="0.2">
      <c r="A38" s="2">
        <f>D18/(D18+E18)*100</f>
        <v>42.857142857142854</v>
      </c>
      <c r="B38" s="2">
        <v>2</v>
      </c>
      <c r="C38" t="s">
        <v>28</v>
      </c>
      <c r="D38" s="2">
        <v>14</v>
      </c>
      <c r="E38" s="2">
        <v>50</v>
      </c>
      <c r="F38" s="2">
        <f>D38/(D45/8)*100</f>
        <v>162.31884057971016</v>
      </c>
      <c r="G38" s="2">
        <f t="shared" ref="G38:G44" si="23">E38*F38</f>
        <v>8115.9420289855079</v>
      </c>
      <c r="H38" s="2">
        <f t="shared" ref="H38:H44" si="24">E38*A38</f>
        <v>2142.8571428571427</v>
      </c>
      <c r="I38" s="2"/>
      <c r="J38">
        <f t="shared" si="19"/>
        <v>162</v>
      </c>
      <c r="L38">
        <f>D20/(D20+E20)*100</f>
        <v>68.867924528301884</v>
      </c>
      <c r="M38">
        <v>2</v>
      </c>
      <c r="N38" t="s">
        <v>28</v>
      </c>
      <c r="O38">
        <v>19</v>
      </c>
      <c r="P38">
        <v>84.2</v>
      </c>
      <c r="Q38">
        <f>O38/(O45/8)*100</f>
        <v>144.76190476190476</v>
      </c>
      <c r="R38">
        <f t="shared" ref="R38:R44" si="25">P38*Q38</f>
        <v>12188.952380952382</v>
      </c>
      <c r="S38" s="2">
        <f t="shared" ref="S38:S44" si="26">P38*L38</f>
        <v>5798.6792452830186</v>
      </c>
      <c r="U38" s="2">
        <f t="shared" ref="U38:U44" si="27">ROUND(Q38,0)</f>
        <v>145</v>
      </c>
    </row>
    <row r="39" spans="1:21" x14ac:dyDescent="0.2">
      <c r="A39" s="2">
        <f>D18/(D18+E18)*100</f>
        <v>42.857142857142854</v>
      </c>
      <c r="B39" s="2">
        <v>3</v>
      </c>
      <c r="C39" s="8" t="s">
        <v>35</v>
      </c>
      <c r="D39" s="2">
        <v>1</v>
      </c>
      <c r="E39" s="2">
        <v>0</v>
      </c>
      <c r="F39" s="2">
        <f>D39/(D45/8)*100</f>
        <v>11.594202898550725</v>
      </c>
      <c r="G39" s="2">
        <f t="shared" si="23"/>
        <v>0</v>
      </c>
      <c r="H39" s="2">
        <f t="shared" si="24"/>
        <v>0</v>
      </c>
      <c r="I39" s="2"/>
      <c r="J39" s="8">
        <f t="shared" si="19"/>
        <v>12</v>
      </c>
      <c r="L39">
        <f>D20/(D20+E20)*100</f>
        <v>68.867924528301884</v>
      </c>
      <c r="M39">
        <v>3</v>
      </c>
      <c r="N39" t="s">
        <v>35</v>
      </c>
      <c r="O39">
        <v>2</v>
      </c>
      <c r="P39">
        <v>50</v>
      </c>
      <c r="Q39">
        <f>O39/(O45/8)*100</f>
        <v>15.238095238095239</v>
      </c>
      <c r="R39">
        <f t="shared" si="25"/>
        <v>761.90476190476193</v>
      </c>
      <c r="S39" s="2">
        <f t="shared" si="26"/>
        <v>3443.3962264150941</v>
      </c>
      <c r="U39" s="8">
        <f t="shared" si="27"/>
        <v>15</v>
      </c>
    </row>
    <row r="40" spans="1:21" x14ac:dyDescent="0.2">
      <c r="A40" s="2">
        <f>D18/(D18+E18)*100</f>
        <v>42.857142857142854</v>
      </c>
      <c r="B40" s="2">
        <v>4</v>
      </c>
      <c r="C40" t="s">
        <v>29</v>
      </c>
      <c r="D40" s="2">
        <v>12</v>
      </c>
      <c r="E40" s="2">
        <v>50</v>
      </c>
      <c r="F40" s="2">
        <f>D40/(D45/8)*100</f>
        <v>139.13043478260869</v>
      </c>
      <c r="G40" s="2">
        <f t="shared" si="23"/>
        <v>6956.5217391304341</v>
      </c>
      <c r="H40" s="2">
        <f t="shared" si="24"/>
        <v>2142.8571428571427</v>
      </c>
      <c r="I40" s="2"/>
      <c r="J40">
        <f t="shared" si="19"/>
        <v>139</v>
      </c>
      <c r="L40">
        <f>D20/(D20+E20)*100</f>
        <v>68.867924528301884</v>
      </c>
      <c r="M40">
        <v>4</v>
      </c>
      <c r="N40" t="s">
        <v>29</v>
      </c>
      <c r="O40">
        <v>13</v>
      </c>
      <c r="P40">
        <v>53.8</v>
      </c>
      <c r="Q40">
        <f>O40/(O45/8)*100</f>
        <v>99.047619047619051</v>
      </c>
      <c r="R40">
        <f t="shared" si="25"/>
        <v>5328.7619047619046</v>
      </c>
      <c r="S40" s="2">
        <f t="shared" si="26"/>
        <v>3705.0943396226412</v>
      </c>
      <c r="U40">
        <f t="shared" si="27"/>
        <v>99</v>
      </c>
    </row>
    <row r="41" spans="1:21" x14ac:dyDescent="0.2">
      <c r="A41" s="2">
        <f>D18/(D18+E18)*100</f>
        <v>42.857142857142854</v>
      </c>
      <c r="B41" s="2">
        <v>5</v>
      </c>
      <c r="C41" s="8" t="s">
        <v>33</v>
      </c>
      <c r="D41" s="2">
        <v>1</v>
      </c>
      <c r="E41" s="2">
        <v>0</v>
      </c>
      <c r="F41" s="2">
        <f>D41/(D45/8)*100</f>
        <v>11.594202898550725</v>
      </c>
      <c r="G41" s="2">
        <f t="shared" si="23"/>
        <v>0</v>
      </c>
      <c r="H41" s="2">
        <f t="shared" si="24"/>
        <v>0</v>
      </c>
      <c r="I41" s="2"/>
      <c r="J41" s="8">
        <f t="shared" si="19"/>
        <v>12</v>
      </c>
      <c r="L41">
        <f>D20/(D20+E20)*100</f>
        <v>68.867924528301884</v>
      </c>
      <c r="M41">
        <v>5</v>
      </c>
      <c r="N41" t="s">
        <v>33</v>
      </c>
      <c r="O41">
        <v>20</v>
      </c>
      <c r="P41">
        <v>85</v>
      </c>
      <c r="Q41">
        <f>O41/(O45/8)*100</f>
        <v>152.38095238095238</v>
      </c>
      <c r="R41">
        <f t="shared" si="25"/>
        <v>12952.380952380952</v>
      </c>
      <c r="S41" s="2">
        <f t="shared" si="26"/>
        <v>5853.7735849056598</v>
      </c>
      <c r="U41">
        <f t="shared" si="27"/>
        <v>152</v>
      </c>
    </row>
    <row r="42" spans="1:21" x14ac:dyDescent="0.2">
      <c r="A42" s="2">
        <f>D18/(D18+E18)*100</f>
        <v>42.857142857142854</v>
      </c>
      <c r="B42" s="2">
        <v>6</v>
      </c>
      <c r="C42" t="s">
        <v>30</v>
      </c>
      <c r="D42" s="2">
        <v>9</v>
      </c>
      <c r="E42" s="2">
        <v>33.299999999999997</v>
      </c>
      <c r="F42" s="2">
        <f>D42/(D45/8)*100</f>
        <v>104.34782608695652</v>
      </c>
      <c r="G42" s="2">
        <f t="shared" si="23"/>
        <v>3474.7826086956516</v>
      </c>
      <c r="H42" s="2">
        <f t="shared" si="24"/>
        <v>1427.1428571428569</v>
      </c>
      <c r="I42" s="2"/>
      <c r="J42">
        <f t="shared" si="19"/>
        <v>104</v>
      </c>
      <c r="L42">
        <f>D20/(D20+E20)*100</f>
        <v>68.867924528301884</v>
      </c>
      <c r="M42">
        <v>6</v>
      </c>
      <c r="N42" t="s">
        <v>30</v>
      </c>
      <c r="O42">
        <v>1</v>
      </c>
      <c r="P42">
        <v>0</v>
      </c>
      <c r="Q42">
        <f>O42/(O45/8)*100</f>
        <v>7.6190476190476195</v>
      </c>
      <c r="R42">
        <f t="shared" si="25"/>
        <v>0</v>
      </c>
      <c r="S42" s="2">
        <f t="shared" si="26"/>
        <v>0</v>
      </c>
      <c r="U42" s="8">
        <f t="shared" si="27"/>
        <v>8</v>
      </c>
    </row>
    <row r="43" spans="1:21" x14ac:dyDescent="0.2">
      <c r="A43" s="2">
        <f>D18/(D18+E18)*100</f>
        <v>42.857142857142854</v>
      </c>
      <c r="B43" s="2">
        <v>7</v>
      </c>
      <c r="C43" s="8" t="s">
        <v>32</v>
      </c>
      <c r="D43" s="2">
        <v>4</v>
      </c>
      <c r="E43" s="2">
        <v>0</v>
      </c>
      <c r="F43" s="2">
        <f>D43/(D45/8)*100</f>
        <v>46.376811594202898</v>
      </c>
      <c r="G43" s="2">
        <f t="shared" si="23"/>
        <v>0</v>
      </c>
      <c r="H43" s="2">
        <f t="shared" si="24"/>
        <v>0</v>
      </c>
      <c r="I43" s="2"/>
      <c r="J43" s="8">
        <f t="shared" si="19"/>
        <v>46</v>
      </c>
      <c r="L43">
        <f>D20/(D20+E20)*100</f>
        <v>68.867924528301884</v>
      </c>
      <c r="M43">
        <v>7</v>
      </c>
      <c r="N43" t="s">
        <v>32</v>
      </c>
      <c r="O43">
        <v>12</v>
      </c>
      <c r="P43">
        <v>66.7</v>
      </c>
      <c r="Q43">
        <f>O43/(O45/8)*100</f>
        <v>91.428571428571431</v>
      </c>
      <c r="R43">
        <f t="shared" si="25"/>
        <v>6098.2857142857147</v>
      </c>
      <c r="S43" s="2">
        <f t="shared" si="26"/>
        <v>4593.4905660377362</v>
      </c>
      <c r="U43">
        <f t="shared" si="27"/>
        <v>91</v>
      </c>
    </row>
    <row r="44" spans="1:21" x14ac:dyDescent="0.2">
      <c r="A44" s="2">
        <f>D18/(D18+E18)*100</f>
        <v>42.857142857142854</v>
      </c>
      <c r="B44" s="2">
        <v>8</v>
      </c>
      <c r="C44" t="s">
        <v>27</v>
      </c>
      <c r="D44" s="2">
        <v>13</v>
      </c>
      <c r="E44" s="2">
        <v>61.5</v>
      </c>
      <c r="F44" s="2">
        <f>D44/(D45/8)*100</f>
        <v>150.72463768115944</v>
      </c>
      <c r="G44" s="2">
        <f t="shared" si="23"/>
        <v>9269.5652173913059</v>
      </c>
      <c r="H44" s="2">
        <f t="shared" si="24"/>
        <v>2635.7142857142853</v>
      </c>
      <c r="I44" s="2"/>
      <c r="J44">
        <f t="shared" si="19"/>
        <v>151</v>
      </c>
      <c r="L44">
        <f>D20/(D20+E20)*100</f>
        <v>68.867924528301884</v>
      </c>
      <c r="M44">
        <v>8</v>
      </c>
      <c r="N44" t="s">
        <v>27</v>
      </c>
      <c r="O44">
        <v>17</v>
      </c>
      <c r="P44">
        <v>41.2</v>
      </c>
      <c r="Q44">
        <f>O44/(O45/8)*100</f>
        <v>129.52380952380952</v>
      </c>
      <c r="R44">
        <f t="shared" si="25"/>
        <v>5336.3809523809523</v>
      </c>
      <c r="S44" s="2">
        <f t="shared" si="26"/>
        <v>2837.3584905660377</v>
      </c>
      <c r="U44">
        <f t="shared" si="27"/>
        <v>130</v>
      </c>
    </row>
    <row r="45" spans="1:21" x14ac:dyDescent="0.2">
      <c r="A45" s="2"/>
      <c r="B45" s="2"/>
      <c r="C45" t="s">
        <v>49</v>
      </c>
      <c r="D45" s="2">
        <f>SUM(D37:D44)</f>
        <v>69</v>
      </c>
      <c r="E45" s="2"/>
      <c r="F45" s="2"/>
      <c r="G45" s="2"/>
      <c r="H45" s="2"/>
      <c r="I45" s="2"/>
      <c r="N45" t="s">
        <v>49</v>
      </c>
      <c r="O45">
        <f>SUM(O37:O44)</f>
        <v>105</v>
      </c>
      <c r="S45" s="2"/>
    </row>
    <row r="46" spans="1:21" x14ac:dyDescent="0.2">
      <c r="A46" s="2"/>
      <c r="B46" s="2"/>
      <c r="D46" s="2"/>
      <c r="E46" s="2"/>
      <c r="F46" s="2"/>
      <c r="G46" s="2"/>
      <c r="H46" s="2"/>
      <c r="I46" s="2"/>
      <c r="S46" s="2"/>
    </row>
    <row r="47" spans="1:21" x14ac:dyDescent="0.2">
      <c r="A47" s="2"/>
      <c r="B47" s="2"/>
      <c r="D47" s="2"/>
      <c r="E47" s="2"/>
      <c r="F47" s="2"/>
      <c r="G47" s="2"/>
      <c r="H47" s="2"/>
      <c r="I47" s="2"/>
      <c r="S47" s="2"/>
    </row>
    <row r="48" spans="1:21" x14ac:dyDescent="0.2">
      <c r="A48" s="2"/>
      <c r="B48" s="2"/>
      <c r="C48" t="s">
        <v>1</v>
      </c>
      <c r="D48" s="2">
        <f>F17</f>
        <v>48.863636363636367</v>
      </c>
      <c r="E48" s="2"/>
      <c r="F48" s="2"/>
      <c r="G48" s="2"/>
      <c r="H48" s="2"/>
      <c r="I48" s="2"/>
      <c r="N48" t="s">
        <v>95</v>
      </c>
      <c r="O48">
        <f>F21</f>
        <v>50</v>
      </c>
    </row>
    <row r="49" spans="1:21" x14ac:dyDescent="0.2">
      <c r="A49" s="2"/>
      <c r="B49" s="2"/>
      <c r="C49" t="s">
        <v>47</v>
      </c>
      <c r="D49" s="2" t="s">
        <v>48</v>
      </c>
      <c r="E49" s="2" t="s">
        <v>44</v>
      </c>
      <c r="F49" s="2" t="s">
        <v>50</v>
      </c>
      <c r="G49" s="2"/>
      <c r="H49" s="2" t="s">
        <v>54</v>
      </c>
      <c r="I49" s="2"/>
      <c r="N49" t="s">
        <v>47</v>
      </c>
      <c r="O49" t="s">
        <v>48</v>
      </c>
      <c r="P49" t="s">
        <v>44</v>
      </c>
      <c r="Q49" t="s">
        <v>50</v>
      </c>
      <c r="S49" t="s">
        <v>54</v>
      </c>
      <c r="T49" t="s">
        <v>55</v>
      </c>
    </row>
    <row r="50" spans="1:21" x14ac:dyDescent="0.2">
      <c r="A50" s="2">
        <f>D17/(D17+E17)*100</f>
        <v>48.863636363636367</v>
      </c>
      <c r="B50" s="2">
        <v>1</v>
      </c>
      <c r="C50" t="s">
        <v>31</v>
      </c>
      <c r="D50" s="2">
        <v>10</v>
      </c>
      <c r="E50" s="2">
        <v>50</v>
      </c>
      <c r="F50" s="2">
        <f>D50/(D58/8)*100</f>
        <v>90.909090909090907</v>
      </c>
      <c r="G50" s="2">
        <f>E50*F50</f>
        <v>4545.454545454545</v>
      </c>
      <c r="H50" s="2">
        <f>E50*A50</f>
        <v>2443.1818181818185</v>
      </c>
      <c r="I50" s="2"/>
      <c r="J50">
        <f t="shared" si="19"/>
        <v>91</v>
      </c>
      <c r="L50">
        <f>D21/(D21+E21)*100</f>
        <v>50</v>
      </c>
      <c r="M50">
        <v>1</v>
      </c>
      <c r="N50" t="s">
        <v>31</v>
      </c>
      <c r="O50">
        <v>14</v>
      </c>
      <c r="P50">
        <v>50</v>
      </c>
      <c r="Q50">
        <f>O50/(O58/8)*100</f>
        <v>109.80392156862746</v>
      </c>
      <c r="R50">
        <f>P50*Q50</f>
        <v>5490.1960784313733</v>
      </c>
      <c r="S50" s="2">
        <f>P50*L50</f>
        <v>2500</v>
      </c>
      <c r="U50">
        <f>ROUND(Q50,0)</f>
        <v>110</v>
      </c>
    </row>
    <row r="51" spans="1:21" x14ac:dyDescent="0.2">
      <c r="A51" s="2">
        <f>D17/(D17+E17)*100</f>
        <v>48.863636363636367</v>
      </c>
      <c r="B51" s="2">
        <v>2</v>
      </c>
      <c r="C51" t="s">
        <v>28</v>
      </c>
      <c r="D51" s="2">
        <v>12</v>
      </c>
      <c r="E51" s="2">
        <v>41.7</v>
      </c>
      <c r="F51" s="2">
        <f>D51/(D58/8)*100</f>
        <v>109.09090909090908</v>
      </c>
      <c r="G51" s="2">
        <f t="shared" ref="G51:G57" si="28">E51*F51</f>
        <v>4549.090909090909</v>
      </c>
      <c r="H51" s="2">
        <f t="shared" ref="H51:H57" si="29">E51*A51</f>
        <v>2037.6136363636367</v>
      </c>
      <c r="I51" s="2"/>
      <c r="J51">
        <f t="shared" si="19"/>
        <v>109</v>
      </c>
      <c r="L51">
        <f>D21/(D21+E21)*100</f>
        <v>50</v>
      </c>
      <c r="M51">
        <v>2</v>
      </c>
      <c r="N51" t="s">
        <v>28</v>
      </c>
      <c r="O51">
        <v>20</v>
      </c>
      <c r="P51">
        <v>50</v>
      </c>
      <c r="Q51">
        <f>O51/(O58/8)*100</f>
        <v>156.86274509803923</v>
      </c>
      <c r="R51">
        <f t="shared" ref="R51:R57" si="30">P51*Q51</f>
        <v>7843.1372549019616</v>
      </c>
      <c r="S51" s="2">
        <f t="shared" ref="S51:S57" si="31">P51*L51</f>
        <v>2500</v>
      </c>
      <c r="U51">
        <f t="shared" ref="U51:U57" si="32">ROUND(Q51,0)</f>
        <v>157</v>
      </c>
    </row>
    <row r="52" spans="1:21" x14ac:dyDescent="0.2">
      <c r="A52" s="2">
        <f>D17/(D17+E17)*100</f>
        <v>48.863636363636367</v>
      </c>
      <c r="B52" s="2">
        <v>3</v>
      </c>
      <c r="C52" s="8" t="s">
        <v>35</v>
      </c>
      <c r="D52" s="2">
        <v>5</v>
      </c>
      <c r="E52" s="2">
        <v>80</v>
      </c>
      <c r="F52" s="2">
        <f>D52/(D58/8)*100</f>
        <v>45.454545454545453</v>
      </c>
      <c r="G52" s="2">
        <f t="shared" si="28"/>
        <v>3636.363636363636</v>
      </c>
      <c r="H52" s="2">
        <f t="shared" si="29"/>
        <v>3909.0909090909095</v>
      </c>
      <c r="I52" s="2"/>
      <c r="J52" s="8">
        <f t="shared" si="19"/>
        <v>45</v>
      </c>
      <c r="L52">
        <f>D21/(D21+E21)*100</f>
        <v>50</v>
      </c>
      <c r="M52">
        <v>3</v>
      </c>
      <c r="N52" t="s">
        <v>35</v>
      </c>
      <c r="O52">
        <v>4</v>
      </c>
      <c r="P52">
        <v>75</v>
      </c>
      <c r="Q52">
        <f>O52/(O58/8)*100</f>
        <v>31.372549019607842</v>
      </c>
      <c r="R52">
        <f t="shared" si="30"/>
        <v>2352.9411764705883</v>
      </c>
      <c r="S52" s="2">
        <f t="shared" si="31"/>
        <v>3750</v>
      </c>
      <c r="U52" s="8">
        <f t="shared" si="32"/>
        <v>31</v>
      </c>
    </row>
    <row r="53" spans="1:21" x14ac:dyDescent="0.2">
      <c r="A53" s="2">
        <f>D17/(D17+E17)*100</f>
        <v>48.863636363636367</v>
      </c>
      <c r="B53" s="2">
        <v>4</v>
      </c>
      <c r="C53" t="s">
        <v>29</v>
      </c>
      <c r="D53" s="2">
        <v>15</v>
      </c>
      <c r="E53" s="2">
        <v>33.299999999999997</v>
      </c>
      <c r="F53" s="2">
        <f>D53/(D58/8)*100</f>
        <v>136.36363636363635</v>
      </c>
      <c r="G53" s="2">
        <f t="shared" si="28"/>
        <v>4540.9090909090901</v>
      </c>
      <c r="H53" s="2">
        <f t="shared" si="29"/>
        <v>1627.1590909090908</v>
      </c>
      <c r="I53" s="2"/>
      <c r="J53">
        <f t="shared" si="19"/>
        <v>136</v>
      </c>
      <c r="L53">
        <f>D21/(D21+E21)*100</f>
        <v>50</v>
      </c>
      <c r="M53">
        <v>4</v>
      </c>
      <c r="N53" t="s">
        <v>29</v>
      </c>
      <c r="O53">
        <v>9</v>
      </c>
      <c r="P53">
        <v>44.4</v>
      </c>
      <c r="Q53">
        <f>O53/(O58/8)*100</f>
        <v>70.588235294117652</v>
      </c>
      <c r="R53">
        <f t="shared" si="30"/>
        <v>3134.1176470588239</v>
      </c>
      <c r="S53" s="2">
        <f t="shared" si="31"/>
        <v>2220</v>
      </c>
      <c r="U53" s="2">
        <f t="shared" si="32"/>
        <v>71</v>
      </c>
    </row>
    <row r="54" spans="1:21" x14ac:dyDescent="0.2">
      <c r="A54" s="2">
        <f>D17/(D17+E17)*100</f>
        <v>48.863636363636367</v>
      </c>
      <c r="B54" s="2">
        <v>5</v>
      </c>
      <c r="C54" s="8" t="s">
        <v>33</v>
      </c>
      <c r="D54" s="2">
        <v>4</v>
      </c>
      <c r="E54" s="2">
        <v>0</v>
      </c>
      <c r="F54" s="2">
        <f>D54/(D58/8)*100</f>
        <v>36.363636363636367</v>
      </c>
      <c r="G54" s="2">
        <f t="shared" si="28"/>
        <v>0</v>
      </c>
      <c r="H54" s="2">
        <f t="shared" si="29"/>
        <v>0</v>
      </c>
      <c r="I54" s="2"/>
      <c r="J54" s="8">
        <f t="shared" si="19"/>
        <v>36</v>
      </c>
      <c r="L54">
        <f>D21/(D21+E21)*100</f>
        <v>50</v>
      </c>
      <c r="M54">
        <v>5</v>
      </c>
      <c r="N54" t="s">
        <v>33</v>
      </c>
      <c r="O54">
        <v>12</v>
      </c>
      <c r="P54">
        <v>33.299999999999997</v>
      </c>
      <c r="Q54">
        <f>O54/(O58/8)*100</f>
        <v>94.117647058823522</v>
      </c>
      <c r="R54">
        <f t="shared" si="30"/>
        <v>3134.117647058823</v>
      </c>
      <c r="S54" s="2">
        <f t="shared" si="31"/>
        <v>1664.9999999999998</v>
      </c>
      <c r="U54">
        <f t="shared" si="32"/>
        <v>94</v>
      </c>
    </row>
    <row r="55" spans="1:21" x14ac:dyDescent="0.2">
      <c r="A55" s="2">
        <f>D17/(D17+E17)*100</f>
        <v>48.863636363636367</v>
      </c>
      <c r="B55" s="2">
        <v>6</v>
      </c>
      <c r="C55" t="s">
        <v>30</v>
      </c>
      <c r="D55" s="2">
        <v>18</v>
      </c>
      <c r="E55" s="2">
        <v>55.6</v>
      </c>
      <c r="F55" s="2">
        <f>D55/(D58/8)*100</f>
        <v>163.63636363636365</v>
      </c>
      <c r="G55" s="2">
        <f t="shared" si="28"/>
        <v>9098.1818181818198</v>
      </c>
      <c r="H55" s="2">
        <f t="shared" si="29"/>
        <v>2716.818181818182</v>
      </c>
      <c r="I55" s="2"/>
      <c r="J55">
        <f t="shared" si="19"/>
        <v>164</v>
      </c>
      <c r="L55">
        <f>D21/(D21+E21)*100</f>
        <v>50</v>
      </c>
      <c r="M55">
        <v>6</v>
      </c>
      <c r="N55" t="s">
        <v>30</v>
      </c>
      <c r="O55">
        <v>6</v>
      </c>
      <c r="P55">
        <v>50</v>
      </c>
      <c r="Q55">
        <f>O55/(O58/8)*100</f>
        <v>47.058823529411761</v>
      </c>
      <c r="R55">
        <f t="shared" si="30"/>
        <v>2352.9411764705878</v>
      </c>
      <c r="S55" s="2">
        <f t="shared" si="31"/>
        <v>2500</v>
      </c>
      <c r="U55" s="8">
        <f t="shared" si="32"/>
        <v>47</v>
      </c>
    </row>
    <row r="56" spans="1:21" x14ac:dyDescent="0.2">
      <c r="A56" s="2">
        <f>D17/(D17+E17)*100</f>
        <v>48.863636363636367</v>
      </c>
      <c r="B56" s="2">
        <v>7</v>
      </c>
      <c r="C56" s="8" t="s">
        <v>32</v>
      </c>
      <c r="D56" s="2">
        <v>0</v>
      </c>
      <c r="E56" s="2">
        <v>0</v>
      </c>
      <c r="F56" s="2">
        <f>D56/(D58/8)*100</f>
        <v>0</v>
      </c>
      <c r="G56" s="2">
        <f t="shared" si="28"/>
        <v>0</v>
      </c>
      <c r="H56" s="2">
        <f t="shared" si="29"/>
        <v>0</v>
      </c>
      <c r="I56" s="2"/>
      <c r="J56" s="8">
        <f t="shared" si="19"/>
        <v>0</v>
      </c>
      <c r="L56">
        <f>D21/(D21+E21)*100</f>
        <v>50</v>
      </c>
      <c r="M56">
        <v>7</v>
      </c>
      <c r="N56" t="s">
        <v>32</v>
      </c>
      <c r="O56">
        <v>18</v>
      </c>
      <c r="P56">
        <v>55.6</v>
      </c>
      <c r="Q56">
        <f>O56/(O58/8)*100</f>
        <v>141.1764705882353</v>
      </c>
      <c r="R56">
        <f t="shared" si="30"/>
        <v>7849.4117647058829</v>
      </c>
      <c r="S56" s="2">
        <f t="shared" si="31"/>
        <v>2780</v>
      </c>
      <c r="U56">
        <f t="shared" si="32"/>
        <v>141</v>
      </c>
    </row>
    <row r="57" spans="1:21" x14ac:dyDescent="0.2">
      <c r="A57" s="2">
        <f>D17/(D17+E17)*100</f>
        <v>48.863636363636367</v>
      </c>
      <c r="B57" s="2">
        <v>8</v>
      </c>
      <c r="C57" t="s">
        <v>27</v>
      </c>
      <c r="D57" s="2">
        <v>24</v>
      </c>
      <c r="E57" s="2">
        <v>58.3</v>
      </c>
      <c r="F57" s="2">
        <f>D57/(D58/8)*100</f>
        <v>218.18181818181816</v>
      </c>
      <c r="G57" s="2">
        <f t="shared" si="28"/>
        <v>12719.999999999998</v>
      </c>
      <c r="H57" s="2">
        <f t="shared" si="29"/>
        <v>2848.75</v>
      </c>
      <c r="I57" s="2"/>
      <c r="J57">
        <f t="shared" si="19"/>
        <v>218</v>
      </c>
      <c r="L57">
        <f>D21/(D21+E21)*100</f>
        <v>50</v>
      </c>
      <c r="M57">
        <v>8</v>
      </c>
      <c r="N57" t="s">
        <v>27</v>
      </c>
      <c r="O57">
        <v>19</v>
      </c>
      <c r="P57">
        <v>57.9</v>
      </c>
      <c r="Q57">
        <f>O57/(O58/8)*100</f>
        <v>149.01960784313727</v>
      </c>
      <c r="R57">
        <f t="shared" si="30"/>
        <v>8628.2352941176468</v>
      </c>
      <c r="S57" s="2">
        <f t="shared" si="31"/>
        <v>2895</v>
      </c>
      <c r="U57">
        <f t="shared" si="32"/>
        <v>149</v>
      </c>
    </row>
    <row r="58" spans="1:21" x14ac:dyDescent="0.2">
      <c r="C58" t="s">
        <v>49</v>
      </c>
      <c r="D58" s="2">
        <f>SUM(D50:D57)</f>
        <v>88</v>
      </c>
      <c r="E58" s="2"/>
      <c r="F58" s="2"/>
      <c r="G58" s="2"/>
      <c r="H58" s="2"/>
      <c r="I58" s="2"/>
      <c r="N58" t="s">
        <v>49</v>
      </c>
      <c r="O58">
        <f>SUM(O50:O57)</f>
        <v>102</v>
      </c>
      <c r="S58" s="2"/>
    </row>
    <row r="59" spans="1:21" x14ac:dyDescent="0.2">
      <c r="H59" s="2"/>
    </row>
    <row r="60" spans="1:21" x14ac:dyDescent="0.2">
      <c r="H60" s="2"/>
    </row>
    <row r="61" spans="1:21" x14ac:dyDescent="0.2">
      <c r="C61" t="s">
        <v>7</v>
      </c>
      <c r="D61">
        <f>F12</f>
        <v>58.333333333333336</v>
      </c>
      <c r="H61" s="2"/>
    </row>
    <row r="62" spans="1:21" x14ac:dyDescent="0.2">
      <c r="C62" t="s">
        <v>47</v>
      </c>
      <c r="D62" t="s">
        <v>48</v>
      </c>
      <c r="E62" t="s">
        <v>44</v>
      </c>
      <c r="F62" t="s">
        <v>50</v>
      </c>
      <c r="H62" s="2" t="s">
        <v>54</v>
      </c>
    </row>
    <row r="63" spans="1:21" x14ac:dyDescent="0.2">
      <c r="A63">
        <f>D12/(D12+E12)*100</f>
        <v>58.333333333333336</v>
      </c>
      <c r="B63">
        <v>1</v>
      </c>
      <c r="C63" t="s">
        <v>31</v>
      </c>
      <c r="D63">
        <v>11</v>
      </c>
      <c r="E63">
        <v>63.6</v>
      </c>
      <c r="F63">
        <f>D63/(D71/8)*100</f>
        <v>106.02409638554218</v>
      </c>
      <c r="G63">
        <f>E63*F63</f>
        <v>6743.1325301204824</v>
      </c>
      <c r="H63" s="2">
        <f>E63*A63</f>
        <v>3710.0000000000005</v>
      </c>
      <c r="J63">
        <f t="shared" si="19"/>
        <v>106</v>
      </c>
    </row>
    <row r="64" spans="1:21" x14ac:dyDescent="0.2">
      <c r="A64">
        <f>D12/(D12+E12)*100</f>
        <v>58.333333333333336</v>
      </c>
      <c r="B64">
        <v>2</v>
      </c>
      <c r="C64" t="s">
        <v>28</v>
      </c>
      <c r="D64">
        <v>10</v>
      </c>
      <c r="E64">
        <v>50</v>
      </c>
      <c r="F64">
        <f>D64/(D71/8)*100</f>
        <v>96.385542168674704</v>
      </c>
      <c r="G64">
        <f t="shared" ref="G64:G70" si="33">E64*F64</f>
        <v>4819.2771084337355</v>
      </c>
      <c r="H64" s="2">
        <f t="shared" ref="H64:H70" si="34">E64*A64</f>
        <v>2916.666666666667</v>
      </c>
      <c r="J64">
        <f t="shared" si="19"/>
        <v>96</v>
      </c>
    </row>
    <row r="65" spans="1:10" x14ac:dyDescent="0.2">
      <c r="A65">
        <f>D12/(D12+E12)*100</f>
        <v>58.333333333333336</v>
      </c>
      <c r="B65">
        <v>3</v>
      </c>
      <c r="C65" t="s">
        <v>35</v>
      </c>
      <c r="D65">
        <v>0</v>
      </c>
      <c r="E65">
        <v>0</v>
      </c>
      <c r="F65">
        <f>D65/(D71/8)*100</f>
        <v>0</v>
      </c>
      <c r="G65">
        <f t="shared" si="33"/>
        <v>0</v>
      </c>
      <c r="H65" s="2">
        <f t="shared" si="34"/>
        <v>0</v>
      </c>
      <c r="J65" s="8">
        <f t="shared" si="19"/>
        <v>0</v>
      </c>
    </row>
    <row r="66" spans="1:10" x14ac:dyDescent="0.2">
      <c r="A66">
        <f>D12/(D12+E12)*100</f>
        <v>58.333333333333336</v>
      </c>
      <c r="B66">
        <v>4</v>
      </c>
      <c r="C66" t="s">
        <v>29</v>
      </c>
      <c r="D66">
        <v>18</v>
      </c>
      <c r="E66">
        <v>77.8</v>
      </c>
      <c r="F66">
        <f>D66/(D71/8)*100</f>
        <v>173.49397590361446</v>
      </c>
      <c r="G66">
        <f t="shared" si="33"/>
        <v>13497.831325301204</v>
      </c>
      <c r="H66" s="2">
        <f t="shared" si="34"/>
        <v>4538.333333333333</v>
      </c>
      <c r="J66">
        <f t="shared" si="19"/>
        <v>173</v>
      </c>
    </row>
    <row r="67" spans="1:10" x14ac:dyDescent="0.2">
      <c r="A67">
        <f>D12/(D12+E12)*100</f>
        <v>58.333333333333336</v>
      </c>
      <c r="B67">
        <v>5</v>
      </c>
      <c r="C67" t="s">
        <v>33</v>
      </c>
      <c r="D67">
        <v>14</v>
      </c>
      <c r="E67">
        <v>50</v>
      </c>
      <c r="F67">
        <f>D67/(D71/8)*100</f>
        <v>134.93975903614458</v>
      </c>
      <c r="G67">
        <f t="shared" si="33"/>
        <v>6746.9879518072294</v>
      </c>
      <c r="H67" s="2">
        <f t="shared" si="34"/>
        <v>2916.666666666667</v>
      </c>
      <c r="J67">
        <f t="shared" si="19"/>
        <v>135</v>
      </c>
    </row>
    <row r="68" spans="1:10" x14ac:dyDescent="0.2">
      <c r="A68">
        <f>D12/(D12+E12)*100</f>
        <v>58.333333333333336</v>
      </c>
      <c r="B68">
        <v>6</v>
      </c>
      <c r="C68" t="s">
        <v>30</v>
      </c>
      <c r="D68">
        <v>2</v>
      </c>
      <c r="E68">
        <v>100</v>
      </c>
      <c r="F68">
        <f>D68/(D71/8)*100</f>
        <v>19.277108433734941</v>
      </c>
      <c r="G68">
        <f t="shared" si="33"/>
        <v>1927.7108433734941</v>
      </c>
      <c r="H68" s="2">
        <f t="shared" si="34"/>
        <v>5833.3333333333339</v>
      </c>
      <c r="J68" s="8">
        <f t="shared" si="19"/>
        <v>19</v>
      </c>
    </row>
    <row r="69" spans="1:10" x14ac:dyDescent="0.2">
      <c r="A69">
        <f>D12/(D12+E12)*100</f>
        <v>58.333333333333336</v>
      </c>
      <c r="B69">
        <v>7</v>
      </c>
      <c r="C69" t="s">
        <v>32</v>
      </c>
      <c r="D69">
        <v>8</v>
      </c>
      <c r="E69">
        <v>50</v>
      </c>
      <c r="F69">
        <f>D69/(D71/8)*100</f>
        <v>77.108433734939766</v>
      </c>
      <c r="G69">
        <f t="shared" si="33"/>
        <v>3855.4216867469881</v>
      </c>
      <c r="H69" s="2">
        <f t="shared" si="34"/>
        <v>2916.666666666667</v>
      </c>
      <c r="J69">
        <f t="shared" si="19"/>
        <v>77</v>
      </c>
    </row>
    <row r="70" spans="1:10" x14ac:dyDescent="0.2">
      <c r="A70">
        <f>D12/(D12+E12)*100</f>
        <v>58.333333333333336</v>
      </c>
      <c r="B70">
        <v>8</v>
      </c>
      <c r="C70" t="s">
        <v>27</v>
      </c>
      <c r="D70">
        <v>20</v>
      </c>
      <c r="E70">
        <v>50</v>
      </c>
      <c r="F70">
        <f>D70/(D71/8)*100</f>
        <v>192.77108433734941</v>
      </c>
      <c r="G70">
        <f t="shared" si="33"/>
        <v>9638.554216867471</v>
      </c>
      <c r="H70" s="2">
        <f t="shared" si="34"/>
        <v>2916.666666666667</v>
      </c>
      <c r="J70">
        <f t="shared" si="19"/>
        <v>193</v>
      </c>
    </row>
    <row r="71" spans="1:10" x14ac:dyDescent="0.2">
      <c r="C71" t="s">
        <v>49</v>
      </c>
      <c r="D71">
        <f>SUM(D63:D70)</f>
        <v>83</v>
      </c>
      <c r="H71" s="2"/>
    </row>
    <row r="74" spans="1:10" x14ac:dyDescent="0.2">
      <c r="C74" t="s">
        <v>56</v>
      </c>
      <c r="D74">
        <f>F7</f>
        <v>65.979381443298962</v>
      </c>
    </row>
    <row r="75" spans="1:10" x14ac:dyDescent="0.2">
      <c r="C75" t="s">
        <v>47</v>
      </c>
      <c r="D75" t="s">
        <v>48</v>
      </c>
      <c r="E75" t="s">
        <v>44</v>
      </c>
      <c r="F75" t="s">
        <v>50</v>
      </c>
      <c r="H75" t="s">
        <v>54</v>
      </c>
    </row>
    <row r="76" spans="1:10" x14ac:dyDescent="0.2">
      <c r="A76">
        <f>D7/(D7+E7)*100</f>
        <v>65.979381443298962</v>
      </c>
      <c r="B76">
        <v>1</v>
      </c>
      <c r="C76" t="s">
        <v>31</v>
      </c>
      <c r="D76">
        <v>8</v>
      </c>
      <c r="E76">
        <v>50</v>
      </c>
      <c r="F76">
        <f>D76/(D84/8)*100</f>
        <v>67.368421052631575</v>
      </c>
      <c r="G76">
        <f>E76*F76</f>
        <v>3368.4210526315787</v>
      </c>
      <c r="H76" s="2">
        <f>E76*A76</f>
        <v>3298.9690721649481</v>
      </c>
      <c r="J76">
        <f t="shared" si="19"/>
        <v>67</v>
      </c>
    </row>
    <row r="77" spans="1:10" x14ac:dyDescent="0.2">
      <c r="A77">
        <f>D7/(D7+E7)*100</f>
        <v>65.979381443298962</v>
      </c>
      <c r="B77">
        <v>2</v>
      </c>
      <c r="C77" t="s">
        <v>28</v>
      </c>
      <c r="D77">
        <v>2</v>
      </c>
      <c r="E77">
        <v>50</v>
      </c>
      <c r="F77">
        <f>D77/(D84/8)*100</f>
        <v>16.842105263157894</v>
      </c>
      <c r="G77">
        <f t="shared" ref="G77:G83" si="35">E77*F77</f>
        <v>842.10526315789468</v>
      </c>
      <c r="H77" s="2">
        <f t="shared" ref="H77:H83" si="36">E77*A77</f>
        <v>3298.9690721649481</v>
      </c>
      <c r="J77" s="8">
        <f t="shared" si="19"/>
        <v>17</v>
      </c>
    </row>
    <row r="78" spans="1:10" x14ac:dyDescent="0.2">
      <c r="A78">
        <f>D7/(D7+E7)*100</f>
        <v>65.979381443298962</v>
      </c>
      <c r="B78">
        <v>3</v>
      </c>
      <c r="C78" t="s">
        <v>35</v>
      </c>
      <c r="D78">
        <v>2</v>
      </c>
      <c r="E78">
        <v>50</v>
      </c>
      <c r="F78">
        <f>D78/(D84/8)*100</f>
        <v>16.842105263157894</v>
      </c>
      <c r="G78">
        <f t="shared" si="35"/>
        <v>842.10526315789468</v>
      </c>
      <c r="H78" s="2">
        <f t="shared" si="36"/>
        <v>3298.9690721649481</v>
      </c>
      <c r="J78" s="8">
        <f t="shared" si="19"/>
        <v>17</v>
      </c>
    </row>
    <row r="79" spans="1:10" x14ac:dyDescent="0.2">
      <c r="A79">
        <f>D7/(D7+E7)*100</f>
        <v>65.979381443298962</v>
      </c>
      <c r="B79">
        <v>4</v>
      </c>
      <c r="C79" t="s">
        <v>29</v>
      </c>
      <c r="D79">
        <v>18</v>
      </c>
      <c r="E79">
        <v>66.7</v>
      </c>
      <c r="F79">
        <f>D79/(D84/8)*100</f>
        <v>151.57894736842107</v>
      </c>
      <c r="G79">
        <f t="shared" si="35"/>
        <v>10110.315789473685</v>
      </c>
      <c r="H79" s="2">
        <f t="shared" si="36"/>
        <v>4400.8247422680406</v>
      </c>
      <c r="J79">
        <f t="shared" si="19"/>
        <v>152</v>
      </c>
    </row>
    <row r="80" spans="1:10" x14ac:dyDescent="0.2">
      <c r="A80">
        <f>D7/(D7+E7)*100</f>
        <v>65.979381443298962</v>
      </c>
      <c r="B80">
        <v>5</v>
      </c>
      <c r="C80" t="s">
        <v>33</v>
      </c>
      <c r="D80">
        <v>11</v>
      </c>
      <c r="E80">
        <v>81.8</v>
      </c>
      <c r="F80">
        <f>D80/(D84/8)*100</f>
        <v>92.631578947368425</v>
      </c>
      <c r="G80">
        <f t="shared" si="35"/>
        <v>7577.2631578947367</v>
      </c>
      <c r="H80" s="2">
        <f t="shared" si="36"/>
        <v>5397.1134020618547</v>
      </c>
      <c r="J80">
        <f t="shared" si="19"/>
        <v>93</v>
      </c>
    </row>
    <row r="81" spans="1:10" x14ac:dyDescent="0.2">
      <c r="A81">
        <f>D7/(D7+E7)*100</f>
        <v>65.979381443298962</v>
      </c>
      <c r="B81">
        <v>6</v>
      </c>
      <c r="C81" t="s">
        <v>30</v>
      </c>
      <c r="D81">
        <v>21</v>
      </c>
      <c r="E81">
        <v>66.7</v>
      </c>
      <c r="F81">
        <f>D81/(D84/8)*100</f>
        <v>176.84210526315789</v>
      </c>
      <c r="G81">
        <f t="shared" si="35"/>
        <v>11795.368421052632</v>
      </c>
      <c r="H81" s="2">
        <f t="shared" si="36"/>
        <v>4400.8247422680406</v>
      </c>
      <c r="J81">
        <f t="shared" si="19"/>
        <v>177</v>
      </c>
    </row>
    <row r="82" spans="1:10" x14ac:dyDescent="0.2">
      <c r="A82">
        <f>D7/(D7+E7)*100</f>
        <v>65.979381443298962</v>
      </c>
      <c r="B82">
        <v>7</v>
      </c>
      <c r="C82" t="s">
        <v>32</v>
      </c>
      <c r="D82">
        <v>11</v>
      </c>
      <c r="E82">
        <v>81.8</v>
      </c>
      <c r="F82">
        <f>D82/(D84/8)*100</f>
        <v>92.631578947368425</v>
      </c>
      <c r="G82">
        <f t="shared" si="35"/>
        <v>7577.2631578947367</v>
      </c>
      <c r="H82" s="2">
        <f t="shared" si="36"/>
        <v>5397.1134020618547</v>
      </c>
      <c r="J82">
        <f t="shared" si="19"/>
        <v>93</v>
      </c>
    </row>
    <row r="83" spans="1:10" x14ac:dyDescent="0.2">
      <c r="A83">
        <f>D7/(D7+E7)*100</f>
        <v>65.979381443298962</v>
      </c>
      <c r="B83">
        <v>8</v>
      </c>
      <c r="C83" t="s">
        <v>27</v>
      </c>
      <c r="D83">
        <v>22</v>
      </c>
      <c r="E83">
        <v>59.1</v>
      </c>
      <c r="F83">
        <f>D83/(D84/8)*100</f>
        <v>185.26315789473685</v>
      </c>
      <c r="G83">
        <f t="shared" si="35"/>
        <v>10949.052631578948</v>
      </c>
      <c r="H83" s="2">
        <f t="shared" si="36"/>
        <v>3899.3814432989689</v>
      </c>
      <c r="J83">
        <f t="shared" si="19"/>
        <v>185</v>
      </c>
    </row>
    <row r="84" spans="1:10" x14ac:dyDescent="0.2">
      <c r="C84" t="s">
        <v>49</v>
      </c>
      <c r="D84">
        <f>SUM(D76:D83)</f>
        <v>95</v>
      </c>
      <c r="H84" s="2"/>
    </row>
    <row r="87" spans="1:10" x14ac:dyDescent="0.2">
      <c r="C87" t="s">
        <v>3</v>
      </c>
      <c r="D87">
        <f>F13</f>
        <v>55.714285714285715</v>
      </c>
    </row>
    <row r="88" spans="1:10" x14ac:dyDescent="0.2">
      <c r="C88" t="s">
        <v>47</v>
      </c>
      <c r="D88" t="s">
        <v>48</v>
      </c>
      <c r="E88" t="s">
        <v>44</v>
      </c>
      <c r="F88" t="s">
        <v>50</v>
      </c>
      <c r="H88" t="s">
        <v>54</v>
      </c>
    </row>
    <row r="89" spans="1:10" x14ac:dyDescent="0.2">
      <c r="A89">
        <f>D13/(D13+E13)*100</f>
        <v>55.714285714285715</v>
      </c>
      <c r="B89">
        <v>1</v>
      </c>
      <c r="C89" t="s">
        <v>31</v>
      </c>
      <c r="D89">
        <v>0</v>
      </c>
      <c r="E89">
        <v>0</v>
      </c>
      <c r="F89">
        <f>D89/(D97/8)*100</f>
        <v>0</v>
      </c>
      <c r="G89">
        <f>E89*F89</f>
        <v>0</v>
      </c>
      <c r="H89" s="2">
        <f>E89*A89</f>
        <v>0</v>
      </c>
      <c r="J89" s="8">
        <f t="shared" ref="J89:J147" si="37">ROUND(F89,0)</f>
        <v>0</v>
      </c>
    </row>
    <row r="90" spans="1:10" x14ac:dyDescent="0.2">
      <c r="A90">
        <f>D13/(D13+E13)*100</f>
        <v>55.714285714285715</v>
      </c>
      <c r="B90">
        <v>2</v>
      </c>
      <c r="C90" t="s">
        <v>28</v>
      </c>
      <c r="D90">
        <v>13</v>
      </c>
      <c r="E90">
        <v>38.5</v>
      </c>
      <c r="F90">
        <f>D90/(D97/8)*100</f>
        <v>152.94117647058823</v>
      </c>
      <c r="G90">
        <f t="shared" ref="G90:G96" si="38">E90*F90</f>
        <v>5888.2352941176468</v>
      </c>
      <c r="H90" s="2">
        <f t="shared" ref="H90:H96" si="39">E90*A90</f>
        <v>2145</v>
      </c>
      <c r="J90">
        <f t="shared" si="37"/>
        <v>153</v>
      </c>
    </row>
    <row r="91" spans="1:10" x14ac:dyDescent="0.2">
      <c r="A91">
        <f>D13/(D13+E13)*100</f>
        <v>55.714285714285715</v>
      </c>
      <c r="B91">
        <v>3</v>
      </c>
      <c r="C91" t="s">
        <v>35</v>
      </c>
      <c r="D91">
        <v>2</v>
      </c>
      <c r="E91">
        <v>50</v>
      </c>
      <c r="F91">
        <f>D91/(D97/8)*100</f>
        <v>23.52941176470588</v>
      </c>
      <c r="G91">
        <f t="shared" si="38"/>
        <v>1176.4705882352939</v>
      </c>
      <c r="H91" s="2">
        <f t="shared" si="39"/>
        <v>2785.7142857142858</v>
      </c>
      <c r="J91" s="8">
        <f t="shared" si="37"/>
        <v>24</v>
      </c>
    </row>
    <row r="92" spans="1:10" x14ac:dyDescent="0.2">
      <c r="A92">
        <f>D13/(D13+E13)*100</f>
        <v>55.714285714285715</v>
      </c>
      <c r="B92">
        <v>4</v>
      </c>
      <c r="C92" t="s">
        <v>29</v>
      </c>
      <c r="D92">
        <v>6</v>
      </c>
      <c r="E92">
        <v>83.3</v>
      </c>
      <c r="F92">
        <f>D92/(D97/8)*100</f>
        <v>70.588235294117652</v>
      </c>
      <c r="G92">
        <f t="shared" si="38"/>
        <v>5880</v>
      </c>
      <c r="H92" s="2">
        <f t="shared" si="39"/>
        <v>4641</v>
      </c>
      <c r="J92">
        <f t="shared" si="37"/>
        <v>71</v>
      </c>
    </row>
    <row r="93" spans="1:10" x14ac:dyDescent="0.2">
      <c r="A93">
        <f>D13/(D13+E13)*100</f>
        <v>55.714285714285715</v>
      </c>
      <c r="B93">
        <v>5</v>
      </c>
      <c r="C93" t="s">
        <v>33</v>
      </c>
      <c r="D93">
        <v>18</v>
      </c>
      <c r="E93">
        <v>61.1</v>
      </c>
      <c r="F93">
        <f>D93/(D97/8)*100</f>
        <v>211.76470588235296</v>
      </c>
      <c r="G93">
        <f t="shared" si="38"/>
        <v>12938.823529411766</v>
      </c>
      <c r="H93" s="2">
        <f t="shared" si="39"/>
        <v>3404.1428571428573</v>
      </c>
      <c r="J93">
        <f t="shared" si="37"/>
        <v>212</v>
      </c>
    </row>
    <row r="94" spans="1:10" x14ac:dyDescent="0.2">
      <c r="A94">
        <f>D13/(D13+E13)*100</f>
        <v>55.714285714285715</v>
      </c>
      <c r="B94">
        <v>6</v>
      </c>
      <c r="C94" t="s">
        <v>30</v>
      </c>
      <c r="D94">
        <v>8</v>
      </c>
      <c r="E94">
        <v>54.5</v>
      </c>
      <c r="F94">
        <f>D94/(D97/8)*100</f>
        <v>94.117647058823522</v>
      </c>
      <c r="G94">
        <f t="shared" si="38"/>
        <v>5129.411764705882</v>
      </c>
      <c r="H94" s="2">
        <f t="shared" si="39"/>
        <v>3036.4285714285716</v>
      </c>
      <c r="J94">
        <f t="shared" si="37"/>
        <v>94</v>
      </c>
    </row>
    <row r="95" spans="1:10" x14ac:dyDescent="0.2">
      <c r="A95">
        <f>D13/(D13+E13)*100</f>
        <v>55.714285714285715</v>
      </c>
      <c r="B95">
        <v>7</v>
      </c>
      <c r="C95" t="s">
        <v>32</v>
      </c>
      <c r="D95">
        <v>11</v>
      </c>
      <c r="E95">
        <v>54.5</v>
      </c>
      <c r="F95">
        <f>D95/(D97/8)*100</f>
        <v>129.41176470588235</v>
      </c>
      <c r="G95">
        <f t="shared" si="38"/>
        <v>7052.9411764705883</v>
      </c>
      <c r="H95" s="2">
        <f t="shared" si="39"/>
        <v>3036.4285714285716</v>
      </c>
      <c r="J95">
        <f t="shared" si="37"/>
        <v>129</v>
      </c>
    </row>
    <row r="96" spans="1:10" x14ac:dyDescent="0.2">
      <c r="A96">
        <f>D13/(D13+E13)*100</f>
        <v>55.714285714285715</v>
      </c>
      <c r="B96">
        <v>8</v>
      </c>
      <c r="C96" t="s">
        <v>27</v>
      </c>
      <c r="D96">
        <v>10</v>
      </c>
      <c r="E96">
        <v>80</v>
      </c>
      <c r="F96">
        <f>D96/(D97/8)*100</f>
        <v>117.64705882352942</v>
      </c>
      <c r="G96">
        <f t="shared" si="38"/>
        <v>9411.7647058823532</v>
      </c>
      <c r="H96" s="2">
        <f t="shared" si="39"/>
        <v>4457.1428571428569</v>
      </c>
      <c r="J96">
        <f t="shared" si="37"/>
        <v>118</v>
      </c>
    </row>
    <row r="97" spans="1:10" x14ac:dyDescent="0.2">
      <c r="C97" t="s">
        <v>49</v>
      </c>
      <c r="D97">
        <f>SUM(D89:D96)</f>
        <v>68</v>
      </c>
      <c r="H97" s="2"/>
    </row>
    <row r="100" spans="1:10" x14ac:dyDescent="0.2">
      <c r="C100" t="s">
        <v>63</v>
      </c>
      <c r="D100">
        <f>F8</f>
        <v>66.363636363636374</v>
      </c>
    </row>
    <row r="101" spans="1:10" x14ac:dyDescent="0.2">
      <c r="C101" t="s">
        <v>47</v>
      </c>
      <c r="D101" t="s">
        <v>48</v>
      </c>
      <c r="E101" t="s">
        <v>44</v>
      </c>
      <c r="F101" t="s">
        <v>50</v>
      </c>
      <c r="H101" t="s">
        <v>54</v>
      </c>
    </row>
    <row r="102" spans="1:10" x14ac:dyDescent="0.2">
      <c r="A102">
        <f>D8/(D8+E8)*100</f>
        <v>66.363636363636374</v>
      </c>
      <c r="B102">
        <v>1</v>
      </c>
      <c r="C102" t="s">
        <v>31</v>
      </c>
      <c r="D102">
        <v>16</v>
      </c>
      <c r="E102">
        <v>62.5</v>
      </c>
      <c r="F102">
        <f>D102/(D110/8)*100</f>
        <v>117.43119266055047</v>
      </c>
      <c r="G102">
        <f>E102*F102</f>
        <v>7339.4495412844044</v>
      </c>
      <c r="H102" s="2">
        <f>E102*A102</f>
        <v>4147.727272727273</v>
      </c>
      <c r="J102">
        <f t="shared" si="37"/>
        <v>117</v>
      </c>
    </row>
    <row r="103" spans="1:10" x14ac:dyDescent="0.2">
      <c r="A103">
        <f>D8/(D8+E8)*100</f>
        <v>66.363636363636374</v>
      </c>
      <c r="B103">
        <v>2</v>
      </c>
      <c r="C103" t="s">
        <v>28</v>
      </c>
      <c r="D103">
        <v>35</v>
      </c>
      <c r="E103">
        <v>65.7</v>
      </c>
      <c r="F103">
        <f>D103/(D110/8)*100</f>
        <v>256.88073394495416</v>
      </c>
      <c r="G103">
        <f t="shared" ref="G103:G109" si="40">E103*F103</f>
        <v>16877.064220183489</v>
      </c>
      <c r="H103" s="2">
        <f t="shared" ref="H103:H109" si="41">E103*A103</f>
        <v>4360.0909090909099</v>
      </c>
      <c r="J103">
        <f t="shared" si="37"/>
        <v>257</v>
      </c>
    </row>
    <row r="104" spans="1:10" x14ac:dyDescent="0.2">
      <c r="A104">
        <f>D8/(D8+E8)*100</f>
        <v>66.363636363636374</v>
      </c>
      <c r="B104">
        <v>3</v>
      </c>
      <c r="C104" t="s">
        <v>35</v>
      </c>
      <c r="D104">
        <v>2</v>
      </c>
      <c r="E104">
        <v>100</v>
      </c>
      <c r="F104">
        <f>D104/(D110/8)*100</f>
        <v>14.678899082568808</v>
      </c>
      <c r="G104">
        <f t="shared" si="40"/>
        <v>1467.8899082568807</v>
      </c>
      <c r="H104" s="2">
        <f t="shared" si="41"/>
        <v>6636.3636363636379</v>
      </c>
      <c r="J104" s="8">
        <f t="shared" si="37"/>
        <v>15</v>
      </c>
    </row>
    <row r="105" spans="1:10" x14ac:dyDescent="0.2">
      <c r="A105">
        <f>D8/(D8+E8)*100</f>
        <v>66.363636363636374</v>
      </c>
      <c r="B105">
        <v>4</v>
      </c>
      <c r="C105" t="s">
        <v>29</v>
      </c>
      <c r="D105">
        <v>19</v>
      </c>
      <c r="E105">
        <v>73.7</v>
      </c>
      <c r="F105">
        <f>D105/(D110/8)*100</f>
        <v>139.44954128440367</v>
      </c>
      <c r="G105">
        <f t="shared" si="40"/>
        <v>10277.43119266055</v>
      </c>
      <c r="H105" s="2">
        <f t="shared" si="41"/>
        <v>4891.0000000000009</v>
      </c>
      <c r="J105">
        <f t="shared" si="37"/>
        <v>139</v>
      </c>
    </row>
    <row r="106" spans="1:10" x14ac:dyDescent="0.2">
      <c r="A106">
        <f>D8/(D8+E8)*100</f>
        <v>66.363636363636374</v>
      </c>
      <c r="B106">
        <v>5</v>
      </c>
      <c r="C106" t="s">
        <v>33</v>
      </c>
      <c r="D106">
        <v>12</v>
      </c>
      <c r="E106">
        <v>66.7</v>
      </c>
      <c r="F106">
        <f>D106/(D110/8)*100</f>
        <v>88.073394495412856</v>
      </c>
      <c r="G106">
        <f t="shared" si="40"/>
        <v>5874.4954128440377</v>
      </c>
      <c r="H106" s="2">
        <f t="shared" si="41"/>
        <v>4426.454545454546</v>
      </c>
      <c r="J106">
        <f t="shared" si="37"/>
        <v>88</v>
      </c>
    </row>
    <row r="107" spans="1:10" x14ac:dyDescent="0.2">
      <c r="A107">
        <f>D8/(D8+E8)*100</f>
        <v>66.363636363636374</v>
      </c>
      <c r="B107">
        <v>6</v>
      </c>
      <c r="C107" t="s">
        <v>30</v>
      </c>
      <c r="D107">
        <v>0</v>
      </c>
      <c r="E107">
        <v>0</v>
      </c>
      <c r="F107">
        <f>D107/(D110/8)*100</f>
        <v>0</v>
      </c>
      <c r="G107">
        <f t="shared" si="40"/>
        <v>0</v>
      </c>
      <c r="H107" s="2">
        <f t="shared" si="41"/>
        <v>0</v>
      </c>
      <c r="J107" s="8">
        <f t="shared" si="37"/>
        <v>0</v>
      </c>
    </row>
    <row r="108" spans="1:10" x14ac:dyDescent="0.2">
      <c r="A108">
        <f>D8/(D8+E8)*100</f>
        <v>66.363636363636374</v>
      </c>
      <c r="B108">
        <v>7</v>
      </c>
      <c r="C108" t="s">
        <v>32</v>
      </c>
      <c r="D108">
        <v>15</v>
      </c>
      <c r="E108">
        <v>73.7</v>
      </c>
      <c r="F108">
        <f>D108/(D110/8)*100</f>
        <v>110.09174311926606</v>
      </c>
      <c r="G108">
        <f t="shared" si="40"/>
        <v>8113.761467889909</v>
      </c>
      <c r="H108" s="2">
        <f t="shared" si="41"/>
        <v>4891.0000000000009</v>
      </c>
      <c r="J108">
        <f t="shared" si="37"/>
        <v>110</v>
      </c>
    </row>
    <row r="109" spans="1:10" x14ac:dyDescent="0.2">
      <c r="A109">
        <f>D8/(D8+E8)*100</f>
        <v>66.363636363636374</v>
      </c>
      <c r="B109">
        <v>8</v>
      </c>
      <c r="C109" t="s">
        <v>27</v>
      </c>
      <c r="D109">
        <v>10</v>
      </c>
      <c r="E109">
        <v>50</v>
      </c>
      <c r="F109">
        <f>D109/(D110/8)*100</f>
        <v>73.394495412844037</v>
      </c>
      <c r="G109">
        <f t="shared" si="40"/>
        <v>3669.7247706422017</v>
      </c>
      <c r="H109" s="2">
        <f t="shared" si="41"/>
        <v>3318.1818181818189</v>
      </c>
      <c r="J109">
        <f t="shared" si="37"/>
        <v>73</v>
      </c>
    </row>
    <row r="110" spans="1:10" x14ac:dyDescent="0.2">
      <c r="C110" t="s">
        <v>49</v>
      </c>
      <c r="D110">
        <f>SUM(D102:D109)</f>
        <v>109</v>
      </c>
      <c r="H110" s="2"/>
    </row>
    <row r="113" spans="1:10" x14ac:dyDescent="0.2">
      <c r="C113" t="s">
        <v>6</v>
      </c>
      <c r="D113">
        <f>F16</f>
        <v>49.038461538461533</v>
      </c>
    </row>
    <row r="114" spans="1:10" x14ac:dyDescent="0.2">
      <c r="C114" t="s">
        <v>47</v>
      </c>
      <c r="D114" t="s">
        <v>48</v>
      </c>
      <c r="E114" t="s">
        <v>44</v>
      </c>
      <c r="F114" t="s">
        <v>50</v>
      </c>
      <c r="H114" t="s">
        <v>54</v>
      </c>
    </row>
    <row r="115" spans="1:10" x14ac:dyDescent="0.2">
      <c r="A115">
        <f>D16/(D16+E16)*100</f>
        <v>49.038461538461533</v>
      </c>
      <c r="B115">
        <v>1</v>
      </c>
      <c r="C115" t="s">
        <v>31</v>
      </c>
      <c r="D115">
        <v>6</v>
      </c>
      <c r="E115">
        <v>16.7</v>
      </c>
      <c r="F115">
        <f>D115/(D123/8)*100</f>
        <v>46.153846153846153</v>
      </c>
      <c r="G115">
        <f>E115*F115</f>
        <v>770.76923076923072</v>
      </c>
      <c r="H115" s="2">
        <f>E115*A115</f>
        <v>818.94230769230762</v>
      </c>
      <c r="J115" s="8">
        <f t="shared" si="37"/>
        <v>46</v>
      </c>
    </row>
    <row r="116" spans="1:10" x14ac:dyDescent="0.2">
      <c r="A116">
        <f>D16/(D16+E16)*100</f>
        <v>49.038461538461533</v>
      </c>
      <c r="B116">
        <v>2</v>
      </c>
      <c r="C116" t="s">
        <v>28</v>
      </c>
      <c r="D116">
        <v>18</v>
      </c>
      <c r="E116">
        <v>66.7</v>
      </c>
      <c r="F116">
        <f>D116/(D123/8)*100</f>
        <v>138.46153846153845</v>
      </c>
      <c r="G116">
        <f t="shared" ref="G116:G122" si="42">E116*F116</f>
        <v>9235.3846153846152</v>
      </c>
      <c r="H116" s="2">
        <f t="shared" ref="H116:H122" si="43">E116*A116</f>
        <v>3270.8653846153843</v>
      </c>
      <c r="J116">
        <f t="shared" si="37"/>
        <v>138</v>
      </c>
    </row>
    <row r="117" spans="1:10" x14ac:dyDescent="0.2">
      <c r="A117">
        <f>D16/(D16+E16)*100</f>
        <v>49.038461538461533</v>
      </c>
      <c r="B117">
        <v>3</v>
      </c>
      <c r="C117" t="s">
        <v>35</v>
      </c>
      <c r="D117">
        <v>1</v>
      </c>
      <c r="E117">
        <v>0</v>
      </c>
      <c r="F117">
        <f>D117/(D123/8)*100</f>
        <v>7.6923076923076925</v>
      </c>
      <c r="G117">
        <f t="shared" si="42"/>
        <v>0</v>
      </c>
      <c r="H117" s="2">
        <f t="shared" si="43"/>
        <v>0</v>
      </c>
      <c r="J117" s="8">
        <f t="shared" si="37"/>
        <v>8</v>
      </c>
    </row>
    <row r="118" spans="1:10" x14ac:dyDescent="0.2">
      <c r="A118">
        <f>D16/(D16+E16)*100</f>
        <v>49.038461538461533</v>
      </c>
      <c r="B118">
        <v>4</v>
      </c>
      <c r="C118" t="s">
        <v>29</v>
      </c>
      <c r="D118">
        <v>16</v>
      </c>
      <c r="E118">
        <v>25</v>
      </c>
      <c r="F118">
        <f>D118/(D123/8)*100</f>
        <v>123.07692307692308</v>
      </c>
      <c r="G118">
        <f t="shared" si="42"/>
        <v>3076.9230769230771</v>
      </c>
      <c r="H118" s="2">
        <f t="shared" si="43"/>
        <v>1225.9615384615383</v>
      </c>
      <c r="J118">
        <f t="shared" si="37"/>
        <v>123</v>
      </c>
    </row>
    <row r="119" spans="1:10" x14ac:dyDescent="0.2">
      <c r="A119">
        <f>D16/(D16+E16)*100</f>
        <v>49.038461538461533</v>
      </c>
      <c r="B119">
        <v>5</v>
      </c>
      <c r="C119" t="s">
        <v>33</v>
      </c>
      <c r="D119">
        <v>16</v>
      </c>
      <c r="E119">
        <v>68.8</v>
      </c>
      <c r="F119">
        <f>D119/(D123/8)*100</f>
        <v>123.07692307692308</v>
      </c>
      <c r="G119">
        <f t="shared" si="42"/>
        <v>8467.6923076923067</v>
      </c>
      <c r="H119" s="2">
        <f t="shared" si="43"/>
        <v>3373.8461538461534</v>
      </c>
      <c r="J119">
        <f t="shared" si="37"/>
        <v>123</v>
      </c>
    </row>
    <row r="120" spans="1:10" x14ac:dyDescent="0.2">
      <c r="A120">
        <f>D16/(D16+E16)*100</f>
        <v>49.038461538461533</v>
      </c>
      <c r="B120">
        <v>6</v>
      </c>
      <c r="C120" t="s">
        <v>30</v>
      </c>
      <c r="D120">
        <v>19</v>
      </c>
      <c r="E120">
        <v>52.6</v>
      </c>
      <c r="F120">
        <f>D120/(D123/8)*100</f>
        <v>146.15384615384613</v>
      </c>
      <c r="G120">
        <f t="shared" si="42"/>
        <v>7687.6923076923067</v>
      </c>
      <c r="H120" s="2">
        <f t="shared" si="43"/>
        <v>2579.4230769230767</v>
      </c>
      <c r="J120">
        <f t="shared" si="37"/>
        <v>146</v>
      </c>
    </row>
    <row r="121" spans="1:10" x14ac:dyDescent="0.2">
      <c r="A121">
        <f>D16/(D16+E16)*100</f>
        <v>49.038461538461533</v>
      </c>
      <c r="B121">
        <v>7</v>
      </c>
      <c r="C121" t="s">
        <v>32</v>
      </c>
      <c r="D121">
        <v>9</v>
      </c>
      <c r="E121">
        <v>33.299999999999997</v>
      </c>
      <c r="F121">
        <f>D121/(D123/8)*100</f>
        <v>69.230769230769226</v>
      </c>
      <c r="G121">
        <f t="shared" si="42"/>
        <v>2305.3846153846152</v>
      </c>
      <c r="H121" s="2">
        <f t="shared" si="43"/>
        <v>1632.9807692307688</v>
      </c>
      <c r="J121">
        <f t="shared" si="37"/>
        <v>69</v>
      </c>
    </row>
    <row r="122" spans="1:10" x14ac:dyDescent="0.2">
      <c r="A122">
        <f>D16/(D16+E16)*100</f>
        <v>49.038461538461533</v>
      </c>
      <c r="B122">
        <v>8</v>
      </c>
      <c r="C122" t="s">
        <v>27</v>
      </c>
      <c r="D122">
        <v>19</v>
      </c>
      <c r="E122">
        <v>52.6</v>
      </c>
      <c r="F122">
        <f>D122/(D123/8)*100</f>
        <v>146.15384615384613</v>
      </c>
      <c r="G122">
        <f t="shared" si="42"/>
        <v>7687.6923076923067</v>
      </c>
      <c r="H122" s="2">
        <f t="shared" si="43"/>
        <v>2579.4230769230767</v>
      </c>
      <c r="J122">
        <f t="shared" si="37"/>
        <v>146</v>
      </c>
    </row>
    <row r="123" spans="1:10" x14ac:dyDescent="0.2">
      <c r="C123" t="s">
        <v>49</v>
      </c>
      <c r="D123">
        <f>SUM(D115:D122)</f>
        <v>104</v>
      </c>
      <c r="H123" s="2"/>
    </row>
    <row r="126" spans="1:10" x14ac:dyDescent="0.2">
      <c r="C126" t="s">
        <v>68</v>
      </c>
      <c r="D126">
        <f>F11</f>
        <v>62.62626262626263</v>
      </c>
    </row>
    <row r="127" spans="1:10" x14ac:dyDescent="0.2">
      <c r="C127" t="s">
        <v>47</v>
      </c>
      <c r="D127" t="s">
        <v>48</v>
      </c>
      <c r="E127" t="s">
        <v>44</v>
      </c>
      <c r="F127" t="s">
        <v>50</v>
      </c>
      <c r="H127" t="s">
        <v>54</v>
      </c>
    </row>
    <row r="128" spans="1:10" x14ac:dyDescent="0.2">
      <c r="A128">
        <f>D11/(D11+E11)*100</f>
        <v>62.62626262626263</v>
      </c>
      <c r="B128">
        <v>1</v>
      </c>
      <c r="C128" t="s">
        <v>31</v>
      </c>
      <c r="D128">
        <v>12</v>
      </c>
      <c r="E128">
        <v>58.3</v>
      </c>
      <c r="F128">
        <f>D128/(D136/8)*100</f>
        <v>96.969696969696969</v>
      </c>
      <c r="G128">
        <f>E128*F128</f>
        <v>5653.333333333333</v>
      </c>
      <c r="H128" s="2">
        <f>E128*A128</f>
        <v>3651.1111111111113</v>
      </c>
      <c r="J128">
        <f t="shared" si="37"/>
        <v>97</v>
      </c>
    </row>
    <row r="129" spans="1:10" x14ac:dyDescent="0.2">
      <c r="A129">
        <f>D11/(D11+E11)*100</f>
        <v>62.62626262626263</v>
      </c>
      <c r="B129">
        <v>2</v>
      </c>
      <c r="C129" t="s">
        <v>28</v>
      </c>
      <c r="D129">
        <v>2</v>
      </c>
      <c r="E129">
        <v>50</v>
      </c>
      <c r="F129">
        <f>D129/(D136/8)*100</f>
        <v>16.161616161616163</v>
      </c>
      <c r="G129">
        <f t="shared" ref="G129:G135" si="44">E129*F129</f>
        <v>808.08080808080808</v>
      </c>
      <c r="H129" s="2">
        <f t="shared" ref="H129:H136" si="45">E129*A129</f>
        <v>3131.3131313131316</v>
      </c>
      <c r="J129" s="8">
        <f t="shared" si="37"/>
        <v>16</v>
      </c>
    </row>
    <row r="130" spans="1:10" x14ac:dyDescent="0.2">
      <c r="A130">
        <f>D11/(D11+E11)*100</f>
        <v>62.62626262626263</v>
      </c>
      <c r="B130">
        <v>3</v>
      </c>
      <c r="C130" t="s">
        <v>35</v>
      </c>
      <c r="D130">
        <v>2</v>
      </c>
      <c r="E130">
        <v>0</v>
      </c>
      <c r="F130">
        <f>D130/(D136/8)*100</f>
        <v>16.161616161616163</v>
      </c>
      <c r="G130">
        <f t="shared" si="44"/>
        <v>0</v>
      </c>
      <c r="H130" s="2">
        <f t="shared" si="45"/>
        <v>0</v>
      </c>
      <c r="J130" s="8">
        <f t="shared" si="37"/>
        <v>16</v>
      </c>
    </row>
    <row r="131" spans="1:10" x14ac:dyDescent="0.2">
      <c r="A131">
        <f>D11/(D11+E11)*100</f>
        <v>62.62626262626263</v>
      </c>
      <c r="B131">
        <v>4</v>
      </c>
      <c r="C131" t="s">
        <v>29</v>
      </c>
      <c r="D131">
        <v>13</v>
      </c>
      <c r="E131">
        <v>69.2</v>
      </c>
      <c r="F131">
        <f>D131/(D136/8)*100</f>
        <v>105.05050505050507</v>
      </c>
      <c r="G131">
        <f t="shared" si="44"/>
        <v>7269.4949494949506</v>
      </c>
      <c r="H131" s="2">
        <f t="shared" si="45"/>
        <v>4333.7373737373746</v>
      </c>
      <c r="J131">
        <f t="shared" si="37"/>
        <v>105</v>
      </c>
    </row>
    <row r="132" spans="1:10" x14ac:dyDescent="0.2">
      <c r="A132">
        <f>D11/(D11+E11)*100</f>
        <v>62.62626262626263</v>
      </c>
      <c r="B132">
        <v>5</v>
      </c>
      <c r="C132" t="s">
        <v>33</v>
      </c>
      <c r="D132">
        <v>16</v>
      </c>
      <c r="E132">
        <v>50</v>
      </c>
      <c r="F132">
        <f>D132/(D136/8)*100</f>
        <v>129.2929292929293</v>
      </c>
      <c r="G132">
        <f t="shared" si="44"/>
        <v>6464.6464646464647</v>
      </c>
      <c r="H132" s="2">
        <f t="shared" si="45"/>
        <v>3131.3131313131316</v>
      </c>
      <c r="J132">
        <f t="shared" si="37"/>
        <v>129</v>
      </c>
    </row>
    <row r="133" spans="1:10" x14ac:dyDescent="0.2">
      <c r="A133">
        <f>D11/(D11+E11)*100</f>
        <v>62.62626262626263</v>
      </c>
      <c r="B133">
        <v>6</v>
      </c>
      <c r="C133" t="s">
        <v>30</v>
      </c>
      <c r="D133">
        <v>16</v>
      </c>
      <c r="E133">
        <v>81.2</v>
      </c>
      <c r="F133">
        <f>D133/(D136/8)*100</f>
        <v>129.2929292929293</v>
      </c>
      <c r="G133">
        <f t="shared" si="44"/>
        <v>10498.58585858586</v>
      </c>
      <c r="H133" s="2">
        <f t="shared" si="45"/>
        <v>5085.2525252525256</v>
      </c>
      <c r="J133">
        <f t="shared" si="37"/>
        <v>129</v>
      </c>
    </row>
    <row r="134" spans="1:10" x14ac:dyDescent="0.2">
      <c r="A134">
        <f>D11/(D11+E11)*100</f>
        <v>62.62626262626263</v>
      </c>
      <c r="B134">
        <v>7</v>
      </c>
      <c r="C134" t="s">
        <v>32</v>
      </c>
      <c r="D134">
        <v>14</v>
      </c>
      <c r="E134">
        <v>50</v>
      </c>
      <c r="F134">
        <f>D134/(D136/8)*100</f>
        <v>113.13131313131312</v>
      </c>
      <c r="G134">
        <f t="shared" si="44"/>
        <v>5656.5656565656564</v>
      </c>
      <c r="H134" s="2">
        <f t="shared" si="45"/>
        <v>3131.3131313131316</v>
      </c>
      <c r="J134">
        <f t="shared" si="37"/>
        <v>113</v>
      </c>
    </row>
    <row r="135" spans="1:10" x14ac:dyDescent="0.2">
      <c r="A135">
        <f>D11/(D11+E11)*100</f>
        <v>62.62626262626263</v>
      </c>
      <c r="B135">
        <v>8</v>
      </c>
      <c r="C135" t="s">
        <v>27</v>
      </c>
      <c r="D135">
        <v>24</v>
      </c>
      <c r="E135">
        <v>70.8</v>
      </c>
      <c r="F135">
        <f>D135/(D136/8)*100</f>
        <v>193.93939393939394</v>
      </c>
      <c r="G135">
        <f t="shared" si="44"/>
        <v>13730.90909090909</v>
      </c>
      <c r="H135" s="2">
        <f t="shared" si="45"/>
        <v>4433.939393939394</v>
      </c>
      <c r="J135">
        <f t="shared" si="37"/>
        <v>194</v>
      </c>
    </row>
    <row r="136" spans="1:10" x14ac:dyDescent="0.2">
      <c r="C136" t="s">
        <v>49</v>
      </c>
      <c r="D136">
        <f>SUM(D128:D135)</f>
        <v>99</v>
      </c>
      <c r="H136" s="2">
        <f t="shared" si="45"/>
        <v>0</v>
      </c>
    </row>
    <row r="139" spans="1:10" x14ac:dyDescent="0.2">
      <c r="C139" t="s">
        <v>69</v>
      </c>
      <c r="D139">
        <f>F10</f>
        <v>63.333333333333329</v>
      </c>
    </row>
    <row r="140" spans="1:10" x14ac:dyDescent="0.2">
      <c r="C140" t="s">
        <v>47</v>
      </c>
      <c r="D140" t="s">
        <v>48</v>
      </c>
      <c r="E140" t="s">
        <v>44</v>
      </c>
      <c r="F140" t="s">
        <v>50</v>
      </c>
      <c r="H140" t="s">
        <v>54</v>
      </c>
    </row>
    <row r="141" spans="1:10" x14ac:dyDescent="0.2">
      <c r="A141">
        <f>D10/(D10+E10)*100</f>
        <v>63.333333333333329</v>
      </c>
      <c r="B141">
        <v>1</v>
      </c>
      <c r="C141" t="s">
        <v>31</v>
      </c>
      <c r="D141">
        <v>15</v>
      </c>
      <c r="E141">
        <v>53.3</v>
      </c>
      <c r="F141">
        <f>D141/(D149/8)*100</f>
        <v>134.83146067415731</v>
      </c>
      <c r="G141">
        <f>E141*F141</f>
        <v>7186.5168539325841</v>
      </c>
      <c r="H141" s="2">
        <f>E141*A141</f>
        <v>3375.6666666666661</v>
      </c>
      <c r="J141">
        <f t="shared" si="37"/>
        <v>135</v>
      </c>
    </row>
    <row r="142" spans="1:10" x14ac:dyDescent="0.2">
      <c r="A142">
        <f>D10/(D10+E10)*100</f>
        <v>63.333333333333329</v>
      </c>
      <c r="B142">
        <v>2</v>
      </c>
      <c r="C142" t="s">
        <v>28</v>
      </c>
      <c r="D142">
        <v>23</v>
      </c>
      <c r="E142">
        <v>60.9</v>
      </c>
      <c r="F142">
        <f>D142/(D149/8)*100</f>
        <v>206.74157303370788</v>
      </c>
      <c r="G142">
        <f t="shared" ref="G142:G148" si="46">E142*F142</f>
        <v>12590.561797752809</v>
      </c>
      <c r="H142" s="2">
        <f t="shared" ref="H142:H148" si="47">E142*A142</f>
        <v>3856.9999999999995</v>
      </c>
      <c r="J142">
        <f t="shared" si="37"/>
        <v>207</v>
      </c>
    </row>
    <row r="143" spans="1:10" x14ac:dyDescent="0.2">
      <c r="A143">
        <f>D10/(D10+E10)*100</f>
        <v>63.333333333333329</v>
      </c>
      <c r="B143">
        <v>3</v>
      </c>
      <c r="C143" t="s">
        <v>35</v>
      </c>
      <c r="D143">
        <v>0</v>
      </c>
      <c r="E143">
        <v>0</v>
      </c>
      <c r="F143">
        <f>D143/(D149/8)*100</f>
        <v>0</v>
      </c>
      <c r="G143">
        <f t="shared" si="46"/>
        <v>0</v>
      </c>
      <c r="H143" s="2">
        <f t="shared" si="47"/>
        <v>0</v>
      </c>
      <c r="J143" s="8">
        <f t="shared" si="37"/>
        <v>0</v>
      </c>
    </row>
    <row r="144" spans="1:10" x14ac:dyDescent="0.2">
      <c r="A144">
        <f>D10/(D10+E10)*100</f>
        <v>63.333333333333329</v>
      </c>
      <c r="B144">
        <v>4</v>
      </c>
      <c r="C144" t="s">
        <v>29</v>
      </c>
      <c r="D144">
        <v>12</v>
      </c>
      <c r="E144">
        <v>50</v>
      </c>
      <c r="F144">
        <f>D144/(D149/8)*100</f>
        <v>107.86516853932584</v>
      </c>
      <c r="G144">
        <f t="shared" si="46"/>
        <v>5393.2584269662921</v>
      </c>
      <c r="H144" s="2">
        <f t="shared" si="47"/>
        <v>3166.6666666666665</v>
      </c>
      <c r="J144">
        <f t="shared" si="37"/>
        <v>108</v>
      </c>
    </row>
    <row r="145" spans="1:10" x14ac:dyDescent="0.2">
      <c r="A145">
        <f>D10/(D10+E10)*100</f>
        <v>63.333333333333329</v>
      </c>
      <c r="B145">
        <v>5</v>
      </c>
      <c r="C145" t="s">
        <v>33</v>
      </c>
      <c r="D145">
        <v>14</v>
      </c>
      <c r="E145">
        <v>71.400000000000006</v>
      </c>
      <c r="F145">
        <f>D145/(D149/8)*100</f>
        <v>125.84269662921348</v>
      </c>
      <c r="G145">
        <f t="shared" si="46"/>
        <v>8985.1685393258431</v>
      </c>
      <c r="H145" s="2">
        <f t="shared" si="47"/>
        <v>4522</v>
      </c>
      <c r="J145">
        <f t="shared" si="37"/>
        <v>126</v>
      </c>
    </row>
    <row r="146" spans="1:10" x14ac:dyDescent="0.2">
      <c r="A146">
        <f>D10/(D10+E10)*100</f>
        <v>63.333333333333329</v>
      </c>
      <c r="B146">
        <v>6</v>
      </c>
      <c r="C146" t="s">
        <v>30</v>
      </c>
      <c r="D146">
        <v>10</v>
      </c>
      <c r="E146">
        <v>70</v>
      </c>
      <c r="F146">
        <f>D146/(D149/8)*100</f>
        <v>89.887640449438194</v>
      </c>
      <c r="G146">
        <f t="shared" si="46"/>
        <v>6292.1348314606739</v>
      </c>
      <c r="H146" s="2">
        <f t="shared" si="47"/>
        <v>4433.333333333333</v>
      </c>
      <c r="J146">
        <f t="shared" si="37"/>
        <v>90</v>
      </c>
    </row>
    <row r="147" spans="1:10" x14ac:dyDescent="0.2">
      <c r="A147">
        <f>D10/(D10+E10)*100</f>
        <v>63.333333333333329</v>
      </c>
      <c r="B147">
        <v>7</v>
      </c>
      <c r="C147" t="s">
        <v>32</v>
      </c>
      <c r="D147">
        <v>15</v>
      </c>
      <c r="E147">
        <v>73.3</v>
      </c>
      <c r="F147">
        <f>D147/(D149/8)*100</f>
        <v>134.83146067415731</v>
      </c>
      <c r="G147">
        <f t="shared" si="46"/>
        <v>9883.1460674157315</v>
      </c>
      <c r="H147" s="2">
        <f t="shared" si="47"/>
        <v>4642.333333333333</v>
      </c>
      <c r="J147">
        <f t="shared" si="37"/>
        <v>135</v>
      </c>
    </row>
    <row r="148" spans="1:10" x14ac:dyDescent="0.2">
      <c r="A148">
        <f>D10/(D10+E10)*100</f>
        <v>63.333333333333329</v>
      </c>
      <c r="B148">
        <v>8</v>
      </c>
      <c r="C148" t="s">
        <v>27</v>
      </c>
      <c r="D148">
        <v>0</v>
      </c>
      <c r="E148">
        <v>0</v>
      </c>
      <c r="F148">
        <f>D148/(D149/8)*100</f>
        <v>0</v>
      </c>
      <c r="G148">
        <f t="shared" si="46"/>
        <v>0</v>
      </c>
      <c r="H148" s="2">
        <f t="shared" si="47"/>
        <v>0</v>
      </c>
    </row>
    <row r="149" spans="1:10" x14ac:dyDescent="0.2">
      <c r="C149" t="s">
        <v>49</v>
      </c>
      <c r="D149">
        <f>SUM(D141:D148)</f>
        <v>89</v>
      </c>
      <c r="H149" s="2"/>
    </row>
    <row r="152" spans="1:10" x14ac:dyDescent="0.2">
      <c r="C152" t="s">
        <v>71</v>
      </c>
      <c r="D152">
        <f>F15</f>
        <v>49.473684210526315</v>
      </c>
    </row>
    <row r="153" spans="1:10" x14ac:dyDescent="0.2">
      <c r="C153" t="s">
        <v>47</v>
      </c>
      <c r="D153" t="s">
        <v>48</v>
      </c>
      <c r="E153" t="s">
        <v>44</v>
      </c>
      <c r="F153" t="s">
        <v>50</v>
      </c>
      <c r="H153" t="s">
        <v>54</v>
      </c>
    </row>
    <row r="154" spans="1:10" x14ac:dyDescent="0.2">
      <c r="A154">
        <f>D15/(D15+E15)*100</f>
        <v>49.473684210526315</v>
      </c>
      <c r="B154">
        <v>1</v>
      </c>
      <c r="C154" t="s">
        <v>31</v>
      </c>
      <c r="D154">
        <v>9</v>
      </c>
      <c r="E154">
        <v>33.299999999999997</v>
      </c>
      <c r="F154">
        <f>D154/(D162/8)*100</f>
        <v>75.789473684210535</v>
      </c>
      <c r="G154">
        <f>E154*F154</f>
        <v>2523.7894736842104</v>
      </c>
      <c r="H154" s="2">
        <f>E154*A154</f>
        <v>1647.4736842105262</v>
      </c>
      <c r="J154">
        <f t="shared" ref="J154:J187" si="48">ROUND(F154,0)</f>
        <v>76</v>
      </c>
    </row>
    <row r="155" spans="1:10" x14ac:dyDescent="0.2">
      <c r="A155">
        <f>D15/(D15+E15)*100</f>
        <v>49.473684210526315</v>
      </c>
      <c r="B155">
        <v>2</v>
      </c>
      <c r="C155" t="s">
        <v>28</v>
      </c>
      <c r="D155">
        <v>24</v>
      </c>
      <c r="E155">
        <v>45.8</v>
      </c>
      <c r="F155">
        <f>D155/(D162/8)*100</f>
        <v>202.10526315789474</v>
      </c>
      <c r="G155">
        <f t="shared" ref="G155:G161" si="49">E155*F155</f>
        <v>9256.4210526315783</v>
      </c>
      <c r="H155" s="2">
        <f t="shared" ref="H155:H161" si="50">E155*A155</f>
        <v>2265.894736842105</v>
      </c>
      <c r="J155">
        <f t="shared" si="48"/>
        <v>202</v>
      </c>
    </row>
    <row r="156" spans="1:10" x14ac:dyDescent="0.2">
      <c r="A156">
        <f>D15/(D15+E15)*100</f>
        <v>49.473684210526315</v>
      </c>
      <c r="B156">
        <v>3</v>
      </c>
      <c r="C156" t="s">
        <v>35</v>
      </c>
      <c r="D156">
        <v>2</v>
      </c>
      <c r="E156">
        <v>100</v>
      </c>
      <c r="F156">
        <f>D156/(D162/8)*100</f>
        <v>16.842105263157894</v>
      </c>
      <c r="G156">
        <f t="shared" si="49"/>
        <v>1684.2105263157894</v>
      </c>
      <c r="H156" s="2">
        <f t="shared" si="50"/>
        <v>4947.3684210526317</v>
      </c>
      <c r="J156" s="8">
        <f t="shared" si="48"/>
        <v>17</v>
      </c>
    </row>
    <row r="157" spans="1:10" x14ac:dyDescent="0.2">
      <c r="A157">
        <f>D15/(D15+E15)*100</f>
        <v>49.473684210526315</v>
      </c>
      <c r="B157">
        <v>4</v>
      </c>
      <c r="C157" t="s">
        <v>29</v>
      </c>
      <c r="D157">
        <v>8</v>
      </c>
      <c r="E157">
        <v>37.5</v>
      </c>
      <c r="F157">
        <f>D157/(D162/8)*100</f>
        <v>67.368421052631575</v>
      </c>
      <c r="G157">
        <f t="shared" si="49"/>
        <v>2526.3157894736842</v>
      </c>
      <c r="H157" s="2">
        <f t="shared" si="50"/>
        <v>1855.2631578947369</v>
      </c>
      <c r="J157">
        <f t="shared" si="48"/>
        <v>67</v>
      </c>
    </row>
    <row r="158" spans="1:10" x14ac:dyDescent="0.2">
      <c r="A158">
        <f>D15/(D15+E15)*100</f>
        <v>49.473684210526315</v>
      </c>
      <c r="B158">
        <v>5</v>
      </c>
      <c r="C158" t="s">
        <v>33</v>
      </c>
      <c r="D158">
        <v>12</v>
      </c>
      <c r="E158">
        <v>66.7</v>
      </c>
      <c r="F158">
        <f>D158/(D162/8)*100</f>
        <v>101.05263157894737</v>
      </c>
      <c r="G158">
        <f t="shared" si="49"/>
        <v>6740.21052631579</v>
      </c>
      <c r="H158" s="2">
        <f t="shared" si="50"/>
        <v>3299.8947368421054</v>
      </c>
      <c r="J158">
        <f t="shared" si="48"/>
        <v>101</v>
      </c>
    </row>
    <row r="159" spans="1:10" x14ac:dyDescent="0.2">
      <c r="A159">
        <f>D15/(D15+E15)*100</f>
        <v>49.473684210526315</v>
      </c>
      <c r="B159">
        <v>6</v>
      </c>
      <c r="C159" t="s">
        <v>30</v>
      </c>
      <c r="D159">
        <v>11</v>
      </c>
      <c r="E159">
        <v>45.5</v>
      </c>
      <c r="F159">
        <f>D159/(D162/8)*100</f>
        <v>92.631578947368425</v>
      </c>
      <c r="G159">
        <f t="shared" si="49"/>
        <v>4214.7368421052633</v>
      </c>
      <c r="H159" s="2">
        <f t="shared" si="50"/>
        <v>2251.0526315789475</v>
      </c>
      <c r="J159">
        <f t="shared" si="48"/>
        <v>93</v>
      </c>
    </row>
    <row r="160" spans="1:10" x14ac:dyDescent="0.2">
      <c r="A160">
        <f>D15/(D15+E15)*100</f>
        <v>49.473684210526315</v>
      </c>
      <c r="B160">
        <v>7</v>
      </c>
      <c r="C160" t="s">
        <v>32</v>
      </c>
      <c r="D160">
        <v>6</v>
      </c>
      <c r="E160">
        <v>50</v>
      </c>
      <c r="F160">
        <f>D160/(D162/8)*100</f>
        <v>50.526315789473685</v>
      </c>
      <c r="G160">
        <f t="shared" si="49"/>
        <v>2526.3157894736842</v>
      </c>
      <c r="H160" s="2">
        <f t="shared" si="50"/>
        <v>2473.6842105263158</v>
      </c>
      <c r="J160" s="8">
        <f t="shared" si="48"/>
        <v>51</v>
      </c>
    </row>
    <row r="161" spans="1:10" x14ac:dyDescent="0.2">
      <c r="A161">
        <f>D15/(D15+E15)*100</f>
        <v>49.473684210526315</v>
      </c>
      <c r="B161">
        <v>8</v>
      </c>
      <c r="C161" t="s">
        <v>27</v>
      </c>
      <c r="D161">
        <v>23</v>
      </c>
      <c r="E161">
        <v>52.2</v>
      </c>
      <c r="F161">
        <f>D161/(D162/8)*100</f>
        <v>193.68421052631578</v>
      </c>
      <c r="G161">
        <f t="shared" si="49"/>
        <v>10110.315789473685</v>
      </c>
      <c r="H161" s="2">
        <f t="shared" si="50"/>
        <v>2582.5263157894738</v>
      </c>
      <c r="J161">
        <f t="shared" si="48"/>
        <v>194</v>
      </c>
    </row>
    <row r="162" spans="1:10" x14ac:dyDescent="0.2">
      <c r="C162" t="s">
        <v>49</v>
      </c>
      <c r="D162">
        <f>SUM(D154:D161)</f>
        <v>95</v>
      </c>
      <c r="H162" s="2"/>
    </row>
    <row r="165" spans="1:10" x14ac:dyDescent="0.2">
      <c r="C165" t="s">
        <v>70</v>
      </c>
      <c r="D165">
        <f>F14</f>
        <v>54.022988505747129</v>
      </c>
    </row>
    <row r="166" spans="1:10" x14ac:dyDescent="0.2">
      <c r="C166" t="s">
        <v>47</v>
      </c>
      <c r="D166" t="s">
        <v>48</v>
      </c>
      <c r="E166" t="s">
        <v>44</v>
      </c>
      <c r="F166" t="s">
        <v>50</v>
      </c>
      <c r="H166" t="s">
        <v>54</v>
      </c>
    </row>
    <row r="167" spans="1:10" x14ac:dyDescent="0.2">
      <c r="A167">
        <f>D14/(D14+E14)*100</f>
        <v>54.022988505747129</v>
      </c>
      <c r="B167">
        <v>1</v>
      </c>
      <c r="C167" t="s">
        <v>31</v>
      </c>
      <c r="D167">
        <v>18</v>
      </c>
      <c r="E167">
        <v>55.6</v>
      </c>
      <c r="F167">
        <f>D167/(D175/8)*100</f>
        <v>165.51724137931035</v>
      </c>
      <c r="G167">
        <f>E167*F167</f>
        <v>9202.7586206896558</v>
      </c>
      <c r="H167" s="2">
        <f>E167*A167</f>
        <v>3003.6781609195405</v>
      </c>
      <c r="J167">
        <f t="shared" si="48"/>
        <v>166</v>
      </c>
    </row>
    <row r="168" spans="1:10" x14ac:dyDescent="0.2">
      <c r="A168">
        <f>D14/(D14+E14)*100</f>
        <v>54.022988505747129</v>
      </c>
      <c r="B168">
        <v>2</v>
      </c>
      <c r="C168" t="s">
        <v>28</v>
      </c>
      <c r="D168">
        <v>13</v>
      </c>
      <c r="E168">
        <v>30.8</v>
      </c>
      <c r="F168">
        <f>D168/(D175/8)*100</f>
        <v>119.54022988505749</v>
      </c>
      <c r="G168">
        <f t="shared" ref="G168:G174" si="51">E168*F168</f>
        <v>3681.8390804597707</v>
      </c>
      <c r="H168" s="2">
        <f t="shared" ref="H168:H174" si="52">E168*A168</f>
        <v>1663.9080459770116</v>
      </c>
      <c r="J168">
        <f t="shared" si="48"/>
        <v>120</v>
      </c>
    </row>
    <row r="169" spans="1:10" x14ac:dyDescent="0.2">
      <c r="A169">
        <f>D14/(D14+E14)*100</f>
        <v>54.022988505747129</v>
      </c>
      <c r="B169">
        <v>3</v>
      </c>
      <c r="C169" t="s">
        <v>35</v>
      </c>
      <c r="D169">
        <v>0</v>
      </c>
      <c r="E169">
        <v>0</v>
      </c>
      <c r="F169">
        <f>D169/(D175/8)*100</f>
        <v>0</v>
      </c>
      <c r="G169">
        <f t="shared" si="51"/>
        <v>0</v>
      </c>
      <c r="H169" s="2">
        <f t="shared" si="52"/>
        <v>0</v>
      </c>
      <c r="J169" s="8">
        <f t="shared" si="48"/>
        <v>0</v>
      </c>
    </row>
    <row r="170" spans="1:10" x14ac:dyDescent="0.2">
      <c r="A170">
        <f>D14/(D14+E14)*100</f>
        <v>54.022988505747129</v>
      </c>
      <c r="B170">
        <v>4</v>
      </c>
      <c r="C170" t="s">
        <v>29</v>
      </c>
      <c r="D170">
        <v>7</v>
      </c>
      <c r="E170">
        <v>57.1</v>
      </c>
      <c r="F170">
        <f>D170/(D175/8)*100</f>
        <v>64.367816091954026</v>
      </c>
      <c r="G170">
        <f t="shared" si="51"/>
        <v>3675.4022988505749</v>
      </c>
      <c r="H170" s="2">
        <f t="shared" si="52"/>
        <v>3084.7126436781614</v>
      </c>
      <c r="J170">
        <f t="shared" si="48"/>
        <v>64</v>
      </c>
    </row>
    <row r="171" spans="1:10" x14ac:dyDescent="0.2">
      <c r="A171">
        <f>D14/(D14+E14)*100</f>
        <v>54.022988505747129</v>
      </c>
      <c r="B171">
        <v>5</v>
      </c>
      <c r="C171" t="s">
        <v>33</v>
      </c>
      <c r="D171">
        <v>17</v>
      </c>
      <c r="E171">
        <v>52.9</v>
      </c>
      <c r="F171">
        <f>D171/(D175/8)*100</f>
        <v>156.32183908045977</v>
      </c>
      <c r="G171">
        <f t="shared" si="51"/>
        <v>8269.4252873563219</v>
      </c>
      <c r="H171" s="2">
        <f t="shared" si="52"/>
        <v>2857.8160919540232</v>
      </c>
      <c r="J171">
        <f t="shared" si="48"/>
        <v>156</v>
      </c>
    </row>
    <row r="172" spans="1:10" x14ac:dyDescent="0.2">
      <c r="A172">
        <f>D14/(D14+E14)*100</f>
        <v>54.022988505747129</v>
      </c>
      <c r="B172">
        <v>6</v>
      </c>
      <c r="C172" t="s">
        <v>30</v>
      </c>
      <c r="D172">
        <v>6</v>
      </c>
      <c r="E172">
        <v>50</v>
      </c>
      <c r="F172">
        <f>D172/(D175/8)*100</f>
        <v>55.172413793103445</v>
      </c>
      <c r="G172">
        <f t="shared" si="51"/>
        <v>2758.6206896551721</v>
      </c>
      <c r="H172" s="2">
        <f t="shared" si="52"/>
        <v>2701.1494252873563</v>
      </c>
      <c r="J172" s="8">
        <f t="shared" si="48"/>
        <v>55</v>
      </c>
    </row>
    <row r="173" spans="1:10" x14ac:dyDescent="0.2">
      <c r="A173">
        <f>D14/(D14+E14)*100</f>
        <v>54.022988505747129</v>
      </c>
      <c r="B173">
        <v>7</v>
      </c>
      <c r="C173" t="s">
        <v>32</v>
      </c>
      <c r="D173">
        <v>12</v>
      </c>
      <c r="E173">
        <v>83.3</v>
      </c>
      <c r="F173">
        <f>D173/(D175/8)*100</f>
        <v>110.34482758620689</v>
      </c>
      <c r="G173">
        <f t="shared" si="51"/>
        <v>9191.7241379310344</v>
      </c>
      <c r="H173" s="2">
        <f t="shared" si="52"/>
        <v>4500.1149425287358</v>
      </c>
      <c r="J173">
        <f t="shared" si="48"/>
        <v>110</v>
      </c>
    </row>
    <row r="174" spans="1:10" x14ac:dyDescent="0.2">
      <c r="A174">
        <f>D14/(D14+E14)*100</f>
        <v>54.022988505747129</v>
      </c>
      <c r="B174">
        <v>8</v>
      </c>
      <c r="C174" t="s">
        <v>27</v>
      </c>
      <c r="D174">
        <v>14</v>
      </c>
      <c r="E174">
        <v>50</v>
      </c>
      <c r="F174">
        <f>D174/(D175/8)*100</f>
        <v>128.73563218390805</v>
      </c>
      <c r="G174">
        <f t="shared" si="51"/>
        <v>6436.7816091954028</v>
      </c>
      <c r="H174" s="2">
        <f t="shared" si="52"/>
        <v>2701.1494252873563</v>
      </c>
      <c r="J174">
        <f t="shared" si="48"/>
        <v>129</v>
      </c>
    </row>
    <row r="175" spans="1:10" x14ac:dyDescent="0.2">
      <c r="C175" t="s">
        <v>49</v>
      </c>
      <c r="D175">
        <f>SUM(D167:D174)</f>
        <v>87</v>
      </c>
      <c r="H175" s="2"/>
    </row>
    <row r="178" spans="1:10" x14ac:dyDescent="0.2">
      <c r="C178" t="s">
        <v>8</v>
      </c>
      <c r="D178">
        <f>F9</f>
        <v>63.265306122448983</v>
      </c>
    </row>
    <row r="179" spans="1:10" x14ac:dyDescent="0.2">
      <c r="C179" t="s">
        <v>47</v>
      </c>
      <c r="D179" t="s">
        <v>48</v>
      </c>
      <c r="E179" t="s">
        <v>44</v>
      </c>
      <c r="F179" t="s">
        <v>50</v>
      </c>
      <c r="H179" t="s">
        <v>54</v>
      </c>
    </row>
    <row r="180" spans="1:10" x14ac:dyDescent="0.2">
      <c r="A180">
        <f>D9/(D9+E9)*100</f>
        <v>63.265306122448983</v>
      </c>
      <c r="B180">
        <v>1</v>
      </c>
      <c r="C180" t="s">
        <v>31</v>
      </c>
      <c r="D180">
        <v>18</v>
      </c>
      <c r="E180">
        <v>72.2</v>
      </c>
      <c r="F180">
        <f>D180/(D188/8)*100</f>
        <v>151.57894736842107</v>
      </c>
      <c r="G180">
        <f>E180*F180</f>
        <v>10944.000000000002</v>
      </c>
      <c r="H180" s="2">
        <f>E180*A180</f>
        <v>4567.7551020408164</v>
      </c>
      <c r="J180">
        <f t="shared" si="48"/>
        <v>152</v>
      </c>
    </row>
    <row r="181" spans="1:10" x14ac:dyDescent="0.2">
      <c r="A181">
        <f>D9/(D9+E9)*100</f>
        <v>63.265306122448983</v>
      </c>
      <c r="B181">
        <v>2</v>
      </c>
      <c r="C181" t="s">
        <v>28</v>
      </c>
      <c r="D181">
        <v>19</v>
      </c>
      <c r="E181">
        <v>63.2</v>
      </c>
      <c r="F181">
        <f>D181/(D188/8)*100</f>
        <v>160</v>
      </c>
      <c r="G181">
        <f t="shared" ref="G181:G187" si="53">E181*F181</f>
        <v>10112</v>
      </c>
      <c r="H181" s="2">
        <f t="shared" ref="H181:H187" si="54">E181*A181</f>
        <v>3998.3673469387759</v>
      </c>
      <c r="J181">
        <f t="shared" si="48"/>
        <v>160</v>
      </c>
    </row>
    <row r="182" spans="1:10" x14ac:dyDescent="0.2">
      <c r="A182">
        <f>D9/(D9+E9)*100</f>
        <v>63.265306122448983</v>
      </c>
      <c r="B182">
        <v>3</v>
      </c>
      <c r="C182" t="s">
        <v>35</v>
      </c>
      <c r="D182">
        <v>0</v>
      </c>
      <c r="E182">
        <v>0</v>
      </c>
      <c r="F182">
        <f>D182/(D188/8)*100</f>
        <v>0</v>
      </c>
      <c r="G182">
        <f t="shared" si="53"/>
        <v>0</v>
      </c>
      <c r="H182" s="2">
        <f t="shared" si="54"/>
        <v>0</v>
      </c>
      <c r="J182" s="8">
        <f t="shared" si="48"/>
        <v>0</v>
      </c>
    </row>
    <row r="183" spans="1:10" x14ac:dyDescent="0.2">
      <c r="A183">
        <f>D9/(D9+E9)*100</f>
        <v>63.265306122448983</v>
      </c>
      <c r="B183">
        <v>4</v>
      </c>
      <c r="C183" t="s">
        <v>29</v>
      </c>
      <c r="D183">
        <v>14</v>
      </c>
      <c r="E183">
        <v>57.1</v>
      </c>
      <c r="F183">
        <f>D183/(D188/8)*100</f>
        <v>117.89473684210525</v>
      </c>
      <c r="G183">
        <f t="shared" si="53"/>
        <v>6731.78947368421</v>
      </c>
      <c r="H183" s="2">
        <f t="shared" si="54"/>
        <v>3612.4489795918371</v>
      </c>
      <c r="J183">
        <f t="shared" si="48"/>
        <v>118</v>
      </c>
    </row>
    <row r="184" spans="1:10" x14ac:dyDescent="0.2">
      <c r="A184">
        <f>D9/(D9+E9)*100</f>
        <v>63.265306122448983</v>
      </c>
      <c r="B184">
        <v>5</v>
      </c>
      <c r="C184" t="s">
        <v>33</v>
      </c>
      <c r="D184">
        <v>16</v>
      </c>
      <c r="E184">
        <v>43.8</v>
      </c>
      <c r="F184">
        <f>D184/(D188/8)*100</f>
        <v>134.73684210526315</v>
      </c>
      <c r="G184">
        <f t="shared" si="53"/>
        <v>5901.4736842105258</v>
      </c>
      <c r="H184" s="2">
        <f t="shared" si="54"/>
        <v>2771.0204081632651</v>
      </c>
      <c r="J184">
        <f t="shared" si="48"/>
        <v>135</v>
      </c>
    </row>
    <row r="185" spans="1:10" x14ac:dyDescent="0.2">
      <c r="A185">
        <f>D9/(D9+E9)*100</f>
        <v>63.265306122448983</v>
      </c>
      <c r="B185">
        <v>6</v>
      </c>
      <c r="C185" t="s">
        <v>30</v>
      </c>
      <c r="D185">
        <v>7</v>
      </c>
      <c r="E185">
        <v>57.1</v>
      </c>
      <c r="F185">
        <f>D185/(D188/8)*100</f>
        <v>58.947368421052623</v>
      </c>
      <c r="G185">
        <f t="shared" si="53"/>
        <v>3365.894736842105</v>
      </c>
      <c r="H185" s="2">
        <f t="shared" si="54"/>
        <v>3612.4489795918371</v>
      </c>
      <c r="J185" s="8">
        <f t="shared" si="48"/>
        <v>59</v>
      </c>
    </row>
    <row r="186" spans="1:10" x14ac:dyDescent="0.2">
      <c r="A186">
        <f>D9/(D9+E9)*100</f>
        <v>63.265306122448983</v>
      </c>
      <c r="B186">
        <v>7</v>
      </c>
      <c r="C186" t="s">
        <v>32</v>
      </c>
      <c r="D186">
        <v>4</v>
      </c>
      <c r="E186">
        <v>75</v>
      </c>
      <c r="F186">
        <f>D186/(D188/8)*100</f>
        <v>33.684210526315788</v>
      </c>
      <c r="G186">
        <f t="shared" si="53"/>
        <v>2526.3157894736842</v>
      </c>
      <c r="H186" s="2">
        <f t="shared" si="54"/>
        <v>4744.8979591836742</v>
      </c>
      <c r="J186" s="8">
        <f t="shared" si="48"/>
        <v>34</v>
      </c>
    </row>
    <row r="187" spans="1:10" x14ac:dyDescent="0.2">
      <c r="A187">
        <f>D9/(D9+E9)*100</f>
        <v>63.265306122448983</v>
      </c>
      <c r="B187">
        <v>8</v>
      </c>
      <c r="C187" t="s">
        <v>27</v>
      </c>
      <c r="D187">
        <v>17</v>
      </c>
      <c r="E187">
        <v>70.599999999999994</v>
      </c>
      <c r="F187">
        <f>D187/(D188/8)*100</f>
        <v>143.15789473684211</v>
      </c>
      <c r="G187">
        <f t="shared" si="53"/>
        <v>10106.947368421052</v>
      </c>
      <c r="H187" s="2">
        <f t="shared" si="54"/>
        <v>4466.5306122448983</v>
      </c>
      <c r="J187">
        <f t="shared" si="48"/>
        <v>143</v>
      </c>
    </row>
    <row r="188" spans="1:10" x14ac:dyDescent="0.2">
      <c r="C188" t="s">
        <v>49</v>
      </c>
      <c r="D188">
        <f>SUM(D180:D187)</f>
        <v>95</v>
      </c>
      <c r="H188" s="2"/>
    </row>
    <row r="189" spans="1:10" x14ac:dyDescent="0.2">
      <c r="H189" s="4"/>
    </row>
    <row r="193" spans="8:8" x14ac:dyDescent="0.2">
      <c r="H193" s="2"/>
    </row>
    <row r="194" spans="8:8" x14ac:dyDescent="0.2">
      <c r="H194" s="2"/>
    </row>
    <row r="195" spans="8:8" x14ac:dyDescent="0.2">
      <c r="H195" s="2"/>
    </row>
    <row r="196" spans="8:8" x14ac:dyDescent="0.2">
      <c r="H196" s="2"/>
    </row>
    <row r="197" spans="8:8" x14ac:dyDescent="0.2">
      <c r="H197" s="2"/>
    </row>
    <row r="198" spans="8:8" x14ac:dyDescent="0.2">
      <c r="H198" s="2"/>
    </row>
    <row r="199" spans="8:8" x14ac:dyDescent="0.2">
      <c r="H199" s="2"/>
    </row>
    <row r="200" spans="8:8" x14ac:dyDescent="0.2">
      <c r="H200" s="2"/>
    </row>
    <row r="201" spans="8:8" x14ac:dyDescent="0.2">
      <c r="H20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showRuler="0" workbookViewId="0">
      <selection activeCell="C25" sqref="C25"/>
    </sheetView>
  </sheetViews>
  <sheetFormatPr baseColWidth="10" defaultRowHeight="16" x14ac:dyDescent="0.2"/>
  <cols>
    <col min="13" max="13" width="37.33203125" customWidth="1"/>
  </cols>
  <sheetData>
    <row r="1" spans="1:13" x14ac:dyDescent="0.2">
      <c r="L1" t="s">
        <v>108</v>
      </c>
      <c r="M1" t="s">
        <v>111</v>
      </c>
    </row>
    <row r="2" spans="1:13" x14ac:dyDescent="0.2">
      <c r="A2" t="s">
        <v>102</v>
      </c>
      <c r="B2">
        <v>1000</v>
      </c>
      <c r="G2" t="s">
        <v>108</v>
      </c>
      <c r="H2" t="s">
        <v>109</v>
      </c>
      <c r="I2" t="s">
        <v>110</v>
      </c>
      <c r="L2" t="s">
        <v>109</v>
      </c>
      <c r="M2" t="s">
        <v>122</v>
      </c>
    </row>
    <row r="3" spans="1:13" x14ac:dyDescent="0.2">
      <c r="G3" s="7">
        <v>0.01</v>
      </c>
      <c r="H3" s="7">
        <v>0.03</v>
      </c>
      <c r="I3" s="7">
        <v>0.05</v>
      </c>
      <c r="L3" t="s">
        <v>110</v>
      </c>
      <c r="M3" t="s">
        <v>121</v>
      </c>
    </row>
    <row r="4" spans="1:13" x14ac:dyDescent="0.2">
      <c r="A4" s="6">
        <v>42896</v>
      </c>
      <c r="B4" t="s">
        <v>99</v>
      </c>
    </row>
    <row r="5" spans="1:13" x14ac:dyDescent="0.2">
      <c r="B5" t="s">
        <v>98</v>
      </c>
      <c r="C5">
        <v>61</v>
      </c>
    </row>
    <row r="6" spans="1:13" x14ac:dyDescent="0.2">
      <c r="B6" t="s">
        <v>100</v>
      </c>
      <c r="C6">
        <v>54</v>
      </c>
    </row>
    <row r="7" spans="1:13" x14ac:dyDescent="0.2">
      <c r="B7" t="s">
        <v>101</v>
      </c>
      <c r="C7" s="7">
        <v>0.1</v>
      </c>
      <c r="D7">
        <f>B2*C7</f>
        <v>100</v>
      </c>
    </row>
    <row r="8" spans="1:13" x14ac:dyDescent="0.2">
      <c r="B8" t="s">
        <v>103</v>
      </c>
      <c r="C8" t="s">
        <v>104</v>
      </c>
      <c r="F8" t="s">
        <v>112</v>
      </c>
      <c r="G8" t="s">
        <v>113</v>
      </c>
    </row>
    <row r="9" spans="1:13" x14ac:dyDescent="0.2">
      <c r="B9" t="s">
        <v>105</v>
      </c>
      <c r="C9">
        <f>B2-D7</f>
        <v>900</v>
      </c>
    </row>
    <row r="11" spans="1:13" x14ac:dyDescent="0.2">
      <c r="A11" s="6">
        <v>42897</v>
      </c>
      <c r="B11" t="s">
        <v>106</v>
      </c>
    </row>
    <row r="12" spans="1:13" x14ac:dyDescent="0.2">
      <c r="B12" t="s">
        <v>107</v>
      </c>
      <c r="C12">
        <v>61</v>
      </c>
    </row>
    <row r="13" spans="1:13" x14ac:dyDescent="0.2">
      <c r="B13" t="s">
        <v>100</v>
      </c>
      <c r="C13" s="7">
        <v>0.68</v>
      </c>
    </row>
    <row r="14" spans="1:13" x14ac:dyDescent="0.2">
      <c r="B14" t="s">
        <v>101</v>
      </c>
      <c r="C14" s="7">
        <v>0.03</v>
      </c>
      <c r="D14">
        <f>C9*C14</f>
        <v>27</v>
      </c>
      <c r="E14" t="s">
        <v>105</v>
      </c>
      <c r="F14">
        <f>C9-D14</f>
        <v>873</v>
      </c>
    </row>
    <row r="15" spans="1:13" x14ac:dyDescent="0.2">
      <c r="B15" t="s">
        <v>103</v>
      </c>
      <c r="C15" t="s">
        <v>19</v>
      </c>
    </row>
    <row r="16" spans="1:13" x14ac:dyDescent="0.2">
      <c r="B16" t="s">
        <v>114</v>
      </c>
      <c r="C16">
        <f>D14*1.36</f>
        <v>36.720000000000006</v>
      </c>
    </row>
    <row r="17" spans="1:6" x14ac:dyDescent="0.2">
      <c r="B17" t="s">
        <v>105</v>
      </c>
      <c r="C17">
        <f>F14+C16</f>
        <v>909.72</v>
      </c>
    </row>
    <row r="19" spans="1:6" x14ac:dyDescent="0.2">
      <c r="A19" s="6">
        <v>42897</v>
      </c>
      <c r="B19" t="s">
        <v>115</v>
      </c>
    </row>
    <row r="20" spans="1:6" x14ac:dyDescent="0.2">
      <c r="B20" t="s">
        <v>98</v>
      </c>
      <c r="C20">
        <v>66</v>
      </c>
    </row>
    <row r="21" spans="1:6" x14ac:dyDescent="0.2">
      <c r="B21" t="s">
        <v>100</v>
      </c>
      <c r="C21" s="7">
        <v>0.71</v>
      </c>
    </row>
    <row r="22" spans="1:6" x14ac:dyDescent="0.2">
      <c r="B22" t="s">
        <v>116</v>
      </c>
      <c r="C22" s="7">
        <v>0.03</v>
      </c>
      <c r="D22">
        <f>C17*C22</f>
        <v>27.291599999999999</v>
      </c>
      <c r="E22" t="s">
        <v>105</v>
      </c>
      <c r="F22">
        <f>C17-D22</f>
        <v>882.42840000000001</v>
      </c>
    </row>
    <row r="23" spans="1:6" x14ac:dyDescent="0.2">
      <c r="B23" t="s">
        <v>103</v>
      </c>
      <c r="C23" t="s">
        <v>19</v>
      </c>
    </row>
    <row r="24" spans="1:6" x14ac:dyDescent="0.2">
      <c r="B24" t="s">
        <v>117</v>
      </c>
      <c r="C24">
        <f>D22*1.3</f>
        <v>35.479080000000003</v>
      </c>
    </row>
    <row r="25" spans="1:6" x14ac:dyDescent="0.2">
      <c r="B25" t="s">
        <v>105</v>
      </c>
      <c r="C25">
        <f>F22+C24</f>
        <v>917.90747999999996</v>
      </c>
    </row>
    <row r="27" spans="1:6" x14ac:dyDescent="0.2">
      <c r="A27" s="6">
        <v>42897</v>
      </c>
      <c r="B27" t="s">
        <v>119</v>
      </c>
      <c r="D27" t="s">
        <v>120</v>
      </c>
    </row>
    <row r="28" spans="1:6" x14ac:dyDescent="0.2">
      <c r="B28" t="s">
        <v>98</v>
      </c>
      <c r="C28">
        <v>41</v>
      </c>
    </row>
    <row r="29" spans="1:6" x14ac:dyDescent="0.2">
      <c r="B29" t="s">
        <v>100</v>
      </c>
      <c r="C29">
        <v>44</v>
      </c>
    </row>
    <row r="30" spans="1:6" x14ac:dyDescent="0.2">
      <c r="B30" t="s">
        <v>118</v>
      </c>
      <c r="C30" s="7">
        <v>0.05</v>
      </c>
      <c r="D30">
        <f>C25*C30</f>
        <v>45.895374000000004</v>
      </c>
      <c r="E30" t="s">
        <v>105</v>
      </c>
      <c r="F30">
        <f>C25-D30</f>
        <v>872.0121059999999</v>
      </c>
    </row>
    <row r="31" spans="1:6" x14ac:dyDescent="0.2">
      <c r="B31" t="s">
        <v>103</v>
      </c>
      <c r="C31" t="s">
        <v>18</v>
      </c>
    </row>
    <row r="32" spans="1:6" x14ac:dyDescent="0.2">
      <c r="B32" t="s">
        <v>117</v>
      </c>
      <c r="C32">
        <v>0</v>
      </c>
    </row>
    <row r="33" spans="2:3" x14ac:dyDescent="0.2">
      <c r="B33" t="s">
        <v>105</v>
      </c>
      <c r="C33">
        <f>F30</f>
        <v>872.0121059999999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39"/>
  <sheetViews>
    <sheetView showRuler="0" workbookViewId="0">
      <selection activeCell="G6" sqref="G6"/>
    </sheetView>
  </sheetViews>
  <sheetFormatPr baseColWidth="10" defaultRowHeight="16" x14ac:dyDescent="0.2"/>
  <sheetData>
    <row r="3" spans="1:8" x14ac:dyDescent="0.2">
      <c r="A3" t="s">
        <v>86</v>
      </c>
    </row>
    <row r="4" spans="1:8" x14ac:dyDescent="0.2">
      <c r="A4">
        <v>66</v>
      </c>
      <c r="B4">
        <v>0</v>
      </c>
      <c r="C4">
        <v>46</v>
      </c>
      <c r="F4" t="s">
        <v>87</v>
      </c>
      <c r="G4" t="s">
        <v>88</v>
      </c>
      <c r="H4" t="s">
        <v>89</v>
      </c>
    </row>
    <row r="5" spans="1:8" x14ac:dyDescent="0.2">
      <c r="A5">
        <f>SUM(C4,A4)</f>
        <v>112</v>
      </c>
      <c r="F5" t="s">
        <v>91</v>
      </c>
      <c r="G5" t="s">
        <v>91</v>
      </c>
      <c r="H5" t="s">
        <v>91</v>
      </c>
    </row>
    <row r="6" spans="1:8" x14ac:dyDescent="0.2">
      <c r="A6" t="s">
        <v>26</v>
      </c>
      <c r="B6">
        <f>A4/A5*100</f>
        <v>58.928571428571431</v>
      </c>
      <c r="F6" t="s">
        <v>91</v>
      </c>
    </row>
    <row r="7" spans="1:8" x14ac:dyDescent="0.2">
      <c r="F7" t="s">
        <v>92</v>
      </c>
    </row>
    <row r="10" spans="1:8" x14ac:dyDescent="0.2">
      <c r="A10" t="s">
        <v>90</v>
      </c>
    </row>
    <row r="11" spans="1:8" x14ac:dyDescent="0.2">
      <c r="A11">
        <v>31</v>
      </c>
      <c r="B11">
        <v>0</v>
      </c>
      <c r="C11">
        <v>27</v>
      </c>
    </row>
    <row r="12" spans="1:8" x14ac:dyDescent="0.2">
      <c r="A12">
        <f>SUM(A11:C11)</f>
        <v>58</v>
      </c>
    </row>
    <row r="13" spans="1:8" x14ac:dyDescent="0.2">
      <c r="A13" t="s">
        <v>26</v>
      </c>
      <c r="B13">
        <f>A11/A12*100</f>
        <v>53.448275862068961</v>
      </c>
    </row>
    <row r="16" spans="1:8" x14ac:dyDescent="0.2">
      <c r="B16" t="s">
        <v>86</v>
      </c>
      <c r="C16">
        <f>B6</f>
        <v>58.928571428571431</v>
      </c>
    </row>
    <row r="17" spans="1:14" x14ac:dyDescent="0.2">
      <c r="B17" t="s">
        <v>47</v>
      </c>
      <c r="C17" t="s">
        <v>48</v>
      </c>
      <c r="D17" t="s">
        <v>44</v>
      </c>
      <c r="E17" t="s">
        <v>50</v>
      </c>
      <c r="G17" t="s">
        <v>54</v>
      </c>
      <c r="H17" t="s">
        <v>55</v>
      </c>
    </row>
    <row r="18" spans="1:14" x14ac:dyDescent="0.2">
      <c r="A18">
        <v>1</v>
      </c>
      <c r="B18" t="s">
        <v>31</v>
      </c>
      <c r="C18">
        <v>14</v>
      </c>
      <c r="D18">
        <v>42.9</v>
      </c>
      <c r="E18">
        <f>C18/(C26/8)*100</f>
        <v>100.90090090090089</v>
      </c>
      <c r="F18">
        <f>D18*E18</f>
        <v>4328.6486486486483</v>
      </c>
      <c r="G18" s="2">
        <f>D18/C16</f>
        <v>0.72799999999999998</v>
      </c>
      <c r="H18">
        <f>G18*C16</f>
        <v>42.9</v>
      </c>
      <c r="I18">
        <f>ROUND(E18,0)</f>
        <v>101</v>
      </c>
    </row>
    <row r="19" spans="1:14" x14ac:dyDescent="0.2">
      <c r="A19">
        <v>2</v>
      </c>
      <c r="B19" t="s">
        <v>28</v>
      </c>
      <c r="C19">
        <v>19</v>
      </c>
      <c r="D19">
        <v>63.2</v>
      </c>
      <c r="E19">
        <f>C19/(C26/8)*100</f>
        <v>136.93693693693695</v>
      </c>
      <c r="F19">
        <f t="shared" ref="F19:F25" si="0">D19*E19</f>
        <v>8654.4144144144157</v>
      </c>
      <c r="G19" s="1">
        <f>D19/C16</f>
        <v>1.0724848484848486</v>
      </c>
      <c r="H19">
        <f>G19*C16</f>
        <v>63.20000000000001</v>
      </c>
      <c r="I19">
        <f t="shared" ref="I19:I25" si="1">ROUND(E19,0)</f>
        <v>137</v>
      </c>
      <c r="M19" t="s">
        <v>86</v>
      </c>
      <c r="N19" t="s">
        <v>91</v>
      </c>
    </row>
    <row r="20" spans="1:14" x14ac:dyDescent="0.2">
      <c r="A20">
        <v>3</v>
      </c>
      <c r="B20" t="s">
        <v>35</v>
      </c>
      <c r="C20">
        <v>1</v>
      </c>
      <c r="D20">
        <v>0</v>
      </c>
      <c r="E20">
        <f>C20/(C26/8)*100</f>
        <v>7.2072072072072073</v>
      </c>
      <c r="F20">
        <f t="shared" si="0"/>
        <v>0</v>
      </c>
      <c r="G20" s="4">
        <f>D20/C16</f>
        <v>0</v>
      </c>
      <c r="I20">
        <f t="shared" si="1"/>
        <v>7</v>
      </c>
      <c r="K20">
        <v>1</v>
      </c>
      <c r="L20" t="s">
        <v>31</v>
      </c>
      <c r="M20">
        <f>G18</f>
        <v>0.72799999999999998</v>
      </c>
      <c r="N20">
        <f>G31</f>
        <v>0.85129032258064519</v>
      </c>
    </row>
    <row r="21" spans="1:14" x14ac:dyDescent="0.2">
      <c r="A21">
        <v>4</v>
      </c>
      <c r="B21" t="s">
        <v>29</v>
      </c>
      <c r="C21">
        <v>4</v>
      </c>
      <c r="D21">
        <v>50</v>
      </c>
      <c r="E21">
        <f>C21/(C26/8)*100</f>
        <v>28.828828828828829</v>
      </c>
      <c r="F21">
        <f t="shared" si="0"/>
        <v>1441.4414414414414</v>
      </c>
      <c r="G21" s="4">
        <f>D21/C16</f>
        <v>0.84848484848484851</v>
      </c>
      <c r="I21">
        <f t="shared" si="1"/>
        <v>29</v>
      </c>
      <c r="K21">
        <v>2</v>
      </c>
      <c r="L21" t="s">
        <v>28</v>
      </c>
      <c r="M21">
        <f t="shared" ref="M21:M27" si="2">G19</f>
        <v>1.0724848484848486</v>
      </c>
      <c r="N21" s="4">
        <f t="shared" ref="N21:N27" si="3">G32</f>
        <v>0</v>
      </c>
    </row>
    <row r="22" spans="1:14" x14ac:dyDescent="0.2">
      <c r="A22">
        <v>5</v>
      </c>
      <c r="B22" t="s">
        <v>33</v>
      </c>
      <c r="C22">
        <v>34</v>
      </c>
      <c r="D22">
        <v>67.599999999999994</v>
      </c>
      <c r="E22">
        <f>C22/(C26/8)*100</f>
        <v>245.04504504504501</v>
      </c>
      <c r="F22">
        <f t="shared" si="0"/>
        <v>16565.045045045041</v>
      </c>
      <c r="G22" s="1">
        <f>D22/C16</f>
        <v>1.147151515151515</v>
      </c>
      <c r="I22">
        <f t="shared" si="1"/>
        <v>245</v>
      </c>
      <c r="K22">
        <v>3</v>
      </c>
      <c r="L22" t="s">
        <v>35</v>
      </c>
      <c r="M22" s="4">
        <f t="shared" si="2"/>
        <v>0</v>
      </c>
      <c r="N22" s="4">
        <f t="shared" si="3"/>
        <v>0</v>
      </c>
    </row>
    <row r="23" spans="1:14" x14ac:dyDescent="0.2">
      <c r="A23">
        <v>6</v>
      </c>
      <c r="B23" t="s">
        <v>30</v>
      </c>
      <c r="C23">
        <v>3</v>
      </c>
      <c r="D23">
        <v>66.7</v>
      </c>
      <c r="E23">
        <f>C23/(C26/8)*100</f>
        <v>21.621621621621621</v>
      </c>
      <c r="F23">
        <f t="shared" si="0"/>
        <v>1442.1621621621621</v>
      </c>
      <c r="G23" s="4">
        <f>D23/C16</f>
        <v>1.1318787878787879</v>
      </c>
      <c r="I23">
        <f t="shared" si="1"/>
        <v>22</v>
      </c>
      <c r="K23">
        <v>4</v>
      </c>
      <c r="L23" t="s">
        <v>29</v>
      </c>
      <c r="M23" s="4">
        <f t="shared" si="2"/>
        <v>0.84848484848484851</v>
      </c>
      <c r="N23" s="4">
        <f t="shared" si="3"/>
        <v>0.37419354838709679</v>
      </c>
    </row>
    <row r="24" spans="1:14" x14ac:dyDescent="0.2">
      <c r="A24">
        <v>7</v>
      </c>
      <c r="B24" t="s">
        <v>32</v>
      </c>
      <c r="C24">
        <v>19</v>
      </c>
      <c r="D24">
        <v>63.2</v>
      </c>
      <c r="E24">
        <f>C24/(C26/8)*100</f>
        <v>136.93693693693695</v>
      </c>
      <c r="F24">
        <f t="shared" si="0"/>
        <v>8654.4144144144157</v>
      </c>
      <c r="G24" s="1">
        <f>D24/C16</f>
        <v>1.0724848484848486</v>
      </c>
      <c r="I24">
        <f t="shared" si="1"/>
        <v>137</v>
      </c>
      <c r="K24">
        <v>5</v>
      </c>
      <c r="L24" t="s">
        <v>33</v>
      </c>
      <c r="M24">
        <f t="shared" si="2"/>
        <v>1.147151515151515</v>
      </c>
      <c r="N24">
        <f t="shared" si="3"/>
        <v>1.3096774193548388</v>
      </c>
    </row>
    <row r="25" spans="1:14" x14ac:dyDescent="0.2">
      <c r="A25">
        <v>8</v>
      </c>
      <c r="B25" t="s">
        <v>27</v>
      </c>
      <c r="C25">
        <v>17</v>
      </c>
      <c r="D25">
        <v>52.9</v>
      </c>
      <c r="E25">
        <f>C25/(C26/8)*100</f>
        <v>122.52252252252251</v>
      </c>
      <c r="F25">
        <f t="shared" si="0"/>
        <v>6481.4414414414405</v>
      </c>
      <c r="G25" s="2">
        <f>D25/C16</f>
        <v>0.89769696969696966</v>
      </c>
      <c r="I25">
        <f t="shared" si="1"/>
        <v>123</v>
      </c>
      <c r="K25">
        <v>6</v>
      </c>
      <c r="L25" t="s">
        <v>30</v>
      </c>
      <c r="M25" s="4">
        <f t="shared" si="2"/>
        <v>1.1318787878787879</v>
      </c>
      <c r="N25">
        <f t="shared" si="3"/>
        <v>1.0402580645161292</v>
      </c>
    </row>
    <row r="26" spans="1:14" x14ac:dyDescent="0.2">
      <c r="C26">
        <f>SUM(C18:C25)</f>
        <v>111</v>
      </c>
      <c r="G26" s="2"/>
      <c r="K26">
        <v>7</v>
      </c>
      <c r="L26" t="s">
        <v>32</v>
      </c>
      <c r="M26">
        <f t="shared" si="2"/>
        <v>1.0724848484848486</v>
      </c>
      <c r="N26">
        <f t="shared" si="3"/>
        <v>1.247935483870968</v>
      </c>
    </row>
    <row r="27" spans="1:14" x14ac:dyDescent="0.2">
      <c r="K27">
        <v>8</v>
      </c>
      <c r="L27" t="s">
        <v>27</v>
      </c>
      <c r="M27">
        <f t="shared" si="2"/>
        <v>0.89769696969696966</v>
      </c>
      <c r="N27">
        <f t="shared" si="3"/>
        <v>1.0402580645161292</v>
      </c>
    </row>
    <row r="29" spans="1:14" x14ac:dyDescent="0.2">
      <c r="B29" t="s">
        <v>91</v>
      </c>
      <c r="C29">
        <f>B13</f>
        <v>53.448275862068961</v>
      </c>
    </row>
    <row r="30" spans="1:14" x14ac:dyDescent="0.2">
      <c r="B30" t="s">
        <v>47</v>
      </c>
      <c r="C30" t="s">
        <v>48</v>
      </c>
      <c r="D30" t="s">
        <v>44</v>
      </c>
      <c r="E30" t="s">
        <v>50</v>
      </c>
      <c r="G30" t="s">
        <v>54</v>
      </c>
      <c r="H30" t="s">
        <v>55</v>
      </c>
    </row>
    <row r="31" spans="1:14" x14ac:dyDescent="0.2">
      <c r="A31">
        <v>1</v>
      </c>
      <c r="B31" t="s">
        <v>31</v>
      </c>
      <c r="C31">
        <v>11</v>
      </c>
      <c r="D31">
        <v>45.5</v>
      </c>
      <c r="E31">
        <f>C31/(C39/8)*100</f>
        <v>151.72413793103448</v>
      </c>
      <c r="F31">
        <f>D31*E31</f>
        <v>6903.4482758620688</v>
      </c>
      <c r="G31" s="2">
        <f>D31/C29</f>
        <v>0.85129032258064519</v>
      </c>
      <c r="H31">
        <f>G31*C29</f>
        <v>45.5</v>
      </c>
      <c r="I31">
        <f>ROUND(E31,0)</f>
        <v>152</v>
      </c>
    </row>
    <row r="32" spans="1:14" x14ac:dyDescent="0.2">
      <c r="A32">
        <v>2</v>
      </c>
      <c r="B32" t="s">
        <v>28</v>
      </c>
      <c r="C32">
        <v>0</v>
      </c>
      <c r="D32">
        <v>0</v>
      </c>
      <c r="E32">
        <f>C32/(C39/8)*100</f>
        <v>0</v>
      </c>
      <c r="F32">
        <f t="shared" ref="F32:F38" si="4">D32*E32</f>
        <v>0</v>
      </c>
      <c r="G32" s="4">
        <f>D32/C29</f>
        <v>0</v>
      </c>
      <c r="H32">
        <f>G32*C29</f>
        <v>0</v>
      </c>
      <c r="I32">
        <f t="shared" ref="I32:I38" si="5">ROUND(E32,0)</f>
        <v>0</v>
      </c>
    </row>
    <row r="33" spans="1:9" x14ac:dyDescent="0.2">
      <c r="A33">
        <v>3</v>
      </c>
      <c r="B33" t="s">
        <v>35</v>
      </c>
      <c r="C33">
        <v>2</v>
      </c>
      <c r="D33">
        <v>0</v>
      </c>
      <c r="E33">
        <f>C33/(C39/8)*100</f>
        <v>27.586206896551722</v>
      </c>
      <c r="F33">
        <f t="shared" si="4"/>
        <v>0</v>
      </c>
      <c r="G33" s="4">
        <f>D33/C29</f>
        <v>0</v>
      </c>
      <c r="I33">
        <f t="shared" si="5"/>
        <v>28</v>
      </c>
    </row>
    <row r="34" spans="1:9" x14ac:dyDescent="0.2">
      <c r="A34">
        <v>4</v>
      </c>
      <c r="B34" t="s">
        <v>29</v>
      </c>
      <c r="C34">
        <v>5</v>
      </c>
      <c r="D34">
        <v>20</v>
      </c>
      <c r="E34">
        <f>C34/(C39/8)*100</f>
        <v>68.965517241379317</v>
      </c>
      <c r="F34">
        <f t="shared" si="4"/>
        <v>1379.3103448275863</v>
      </c>
      <c r="G34" s="4">
        <f>D34/C29</f>
        <v>0.37419354838709679</v>
      </c>
      <c r="I34">
        <f t="shared" si="5"/>
        <v>69</v>
      </c>
    </row>
    <row r="35" spans="1:9" x14ac:dyDescent="0.2">
      <c r="A35">
        <v>5</v>
      </c>
      <c r="B35" t="s">
        <v>33</v>
      </c>
      <c r="C35">
        <v>10</v>
      </c>
      <c r="D35">
        <v>70</v>
      </c>
      <c r="E35">
        <f>C35/(C39/8)*100</f>
        <v>137.93103448275863</v>
      </c>
      <c r="F35">
        <f t="shared" si="4"/>
        <v>9655.1724137931051</v>
      </c>
      <c r="G35" s="1">
        <f>D35/C29</f>
        <v>1.3096774193548388</v>
      </c>
      <c r="I35">
        <f t="shared" si="5"/>
        <v>138</v>
      </c>
    </row>
    <row r="36" spans="1:9" x14ac:dyDescent="0.2">
      <c r="A36">
        <v>6</v>
      </c>
      <c r="B36" t="s">
        <v>30</v>
      </c>
      <c r="C36">
        <v>9</v>
      </c>
      <c r="D36">
        <v>55.6</v>
      </c>
      <c r="E36">
        <f>C36/(C39/8)*100</f>
        <v>124.13793103448276</v>
      </c>
      <c r="F36">
        <f t="shared" si="4"/>
        <v>6902.0689655172418</v>
      </c>
      <c r="G36" s="1">
        <f>D36/C29</f>
        <v>1.0402580645161292</v>
      </c>
      <c r="I36">
        <f t="shared" si="5"/>
        <v>124</v>
      </c>
    </row>
    <row r="37" spans="1:9" x14ac:dyDescent="0.2">
      <c r="A37">
        <v>7</v>
      </c>
      <c r="B37" t="s">
        <v>32</v>
      </c>
      <c r="C37">
        <v>12</v>
      </c>
      <c r="D37">
        <v>66.7</v>
      </c>
      <c r="E37">
        <f>C37/(C39/8)*100</f>
        <v>165.51724137931035</v>
      </c>
      <c r="F37">
        <f t="shared" si="4"/>
        <v>11040</v>
      </c>
      <c r="G37" s="1">
        <f>D37/C29</f>
        <v>1.247935483870968</v>
      </c>
      <c r="I37">
        <f t="shared" si="5"/>
        <v>166</v>
      </c>
    </row>
    <row r="38" spans="1:9" x14ac:dyDescent="0.2">
      <c r="A38">
        <v>8</v>
      </c>
      <c r="B38" t="s">
        <v>27</v>
      </c>
      <c r="C38">
        <v>9</v>
      </c>
      <c r="D38">
        <v>55.6</v>
      </c>
      <c r="E38">
        <f>C38/(C39/8)*100</f>
        <v>124.13793103448276</v>
      </c>
      <c r="F38">
        <f t="shared" si="4"/>
        <v>6902.0689655172418</v>
      </c>
      <c r="G38" s="1">
        <f>D38/C29</f>
        <v>1.0402580645161292</v>
      </c>
      <c r="I38">
        <f t="shared" si="5"/>
        <v>124</v>
      </c>
    </row>
    <row r="39" spans="1:9" x14ac:dyDescent="0.2">
      <c r="C39">
        <f>SUM(C31:C38)</f>
        <v>58</v>
      </c>
      <c r="G39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1:K25"/>
  <sheetViews>
    <sheetView showRuler="0" workbookViewId="0">
      <selection activeCell="F25" sqref="F25:G26"/>
    </sheetView>
  </sheetViews>
  <sheetFormatPr baseColWidth="10" defaultRowHeight="16" x14ac:dyDescent="0.2"/>
  <sheetData>
    <row r="11" spans="6:11" x14ac:dyDescent="0.2">
      <c r="F11" t="s">
        <v>52</v>
      </c>
      <c r="G11" t="s">
        <v>57</v>
      </c>
      <c r="K11" t="s">
        <v>59</v>
      </c>
    </row>
    <row r="12" spans="6:11" x14ac:dyDescent="0.2">
      <c r="G12" t="s">
        <v>58</v>
      </c>
      <c r="K12" t="s">
        <v>60</v>
      </c>
    </row>
    <row r="14" spans="6:11" x14ac:dyDescent="0.2">
      <c r="G14" t="s">
        <v>61</v>
      </c>
    </row>
    <row r="15" spans="6:11" x14ac:dyDescent="0.2">
      <c r="G15" t="s">
        <v>62</v>
      </c>
    </row>
    <row r="19" spans="6:7" x14ac:dyDescent="0.2">
      <c r="F19" t="s">
        <v>52</v>
      </c>
      <c r="G19" t="s">
        <v>64</v>
      </c>
    </row>
    <row r="20" spans="6:7" x14ac:dyDescent="0.2">
      <c r="G20" t="s">
        <v>65</v>
      </c>
    </row>
    <row r="21" spans="6:7" x14ac:dyDescent="0.2">
      <c r="G21" t="s">
        <v>66</v>
      </c>
    </row>
    <row r="22" spans="6:7" x14ac:dyDescent="0.2">
      <c r="G22" t="s">
        <v>67</v>
      </c>
    </row>
    <row r="25" spans="6:7" x14ac:dyDescent="0.2">
      <c r="F25" t="s">
        <v>52</v>
      </c>
      <c r="G25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Ruler="0" workbookViewId="0"/>
  </sheetViews>
  <sheetFormatPr baseColWidth="10" defaultRowHeight="16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L27"/>
  <sheetViews>
    <sheetView showRuler="0" workbookViewId="0">
      <selection activeCell="H3" sqref="H3:H10"/>
    </sheetView>
  </sheetViews>
  <sheetFormatPr baseColWidth="10" defaultRowHeight="16" x14ac:dyDescent="0.2"/>
  <sheetData>
    <row r="1" spans="3:12" x14ac:dyDescent="0.2">
      <c r="C1" t="s">
        <v>0</v>
      </c>
      <c r="D1" t="s">
        <v>13</v>
      </c>
    </row>
    <row r="2" spans="3:12" x14ac:dyDescent="0.2">
      <c r="C2" t="s">
        <v>26</v>
      </c>
      <c r="D2">
        <f>SUM(E3:E26)/24*100</f>
        <v>50</v>
      </c>
    </row>
    <row r="3" spans="3:12" x14ac:dyDescent="0.2">
      <c r="C3">
        <v>9</v>
      </c>
      <c r="D3">
        <v>16</v>
      </c>
      <c r="E3">
        <f xml:space="preserve"> IF(C3&gt;D3,1,0)</f>
        <v>0</v>
      </c>
      <c r="F3" t="s">
        <v>27</v>
      </c>
      <c r="G3" t="s">
        <v>36</v>
      </c>
      <c r="H3" t="s">
        <v>31</v>
      </c>
      <c r="I3">
        <v>58.6</v>
      </c>
      <c r="J3">
        <v>58.9</v>
      </c>
      <c r="K3" t="s">
        <v>31</v>
      </c>
      <c r="L3" t="s">
        <v>37</v>
      </c>
    </row>
    <row r="4" spans="3:12" x14ac:dyDescent="0.2">
      <c r="C4">
        <v>10</v>
      </c>
      <c r="D4">
        <v>16</v>
      </c>
      <c r="E4">
        <f t="shared" ref="E4:E26" si="0" xml:space="preserve"> IF(C4&gt;D4,1,0)</f>
        <v>0</v>
      </c>
      <c r="F4" t="s">
        <v>28</v>
      </c>
      <c r="H4" t="s">
        <v>28</v>
      </c>
      <c r="I4">
        <v>59.5</v>
      </c>
      <c r="J4">
        <v>57.6</v>
      </c>
      <c r="K4" t="s">
        <v>28</v>
      </c>
    </row>
    <row r="5" spans="3:12" x14ac:dyDescent="0.2">
      <c r="C5">
        <v>6</v>
      </c>
      <c r="D5">
        <v>16</v>
      </c>
      <c r="E5">
        <f t="shared" si="0"/>
        <v>0</v>
      </c>
      <c r="F5" t="s">
        <v>29</v>
      </c>
      <c r="H5" t="s">
        <v>35</v>
      </c>
      <c r="I5">
        <v>67.400000000000006</v>
      </c>
      <c r="J5">
        <v>59.5</v>
      </c>
      <c r="K5" t="s">
        <v>35</v>
      </c>
    </row>
    <row r="6" spans="3:12" x14ac:dyDescent="0.2">
      <c r="C6">
        <v>16</v>
      </c>
      <c r="D6">
        <v>9</v>
      </c>
      <c r="E6">
        <f t="shared" si="0"/>
        <v>1</v>
      </c>
      <c r="F6" t="s">
        <v>30</v>
      </c>
      <c r="H6" t="s">
        <v>29</v>
      </c>
      <c r="I6">
        <v>63.7</v>
      </c>
      <c r="J6">
        <v>52.1</v>
      </c>
      <c r="K6" t="s">
        <v>29</v>
      </c>
    </row>
    <row r="7" spans="3:12" x14ac:dyDescent="0.2">
      <c r="C7">
        <v>4</v>
      </c>
      <c r="D7">
        <v>16</v>
      </c>
      <c r="E7">
        <f t="shared" si="0"/>
        <v>0</v>
      </c>
      <c r="F7" t="s">
        <v>31</v>
      </c>
      <c r="H7" t="s">
        <v>33</v>
      </c>
      <c r="I7">
        <v>60.8</v>
      </c>
      <c r="J7">
        <v>52</v>
      </c>
      <c r="K7" t="s">
        <v>33</v>
      </c>
    </row>
    <row r="8" spans="3:12" x14ac:dyDescent="0.2">
      <c r="C8">
        <v>16</v>
      </c>
      <c r="D8">
        <v>10</v>
      </c>
      <c r="E8">
        <f t="shared" si="0"/>
        <v>1</v>
      </c>
      <c r="F8" t="s">
        <v>27</v>
      </c>
      <c r="H8" t="s">
        <v>30</v>
      </c>
      <c r="I8">
        <v>83.5</v>
      </c>
      <c r="J8">
        <v>64.099999999999994</v>
      </c>
      <c r="K8" t="s">
        <v>30</v>
      </c>
    </row>
    <row r="9" spans="3:12" x14ac:dyDescent="0.2">
      <c r="C9">
        <v>16</v>
      </c>
      <c r="D9">
        <v>8</v>
      </c>
      <c r="E9">
        <f t="shared" si="0"/>
        <v>1</v>
      </c>
      <c r="F9" t="s">
        <v>30</v>
      </c>
      <c r="H9" t="s">
        <v>32</v>
      </c>
      <c r="I9">
        <v>55.4</v>
      </c>
      <c r="J9">
        <v>50.8</v>
      </c>
      <c r="K9" t="s">
        <v>32</v>
      </c>
    </row>
    <row r="10" spans="3:12" x14ac:dyDescent="0.2">
      <c r="C10">
        <v>16</v>
      </c>
      <c r="D10">
        <v>4</v>
      </c>
      <c r="E10">
        <f t="shared" si="0"/>
        <v>1</v>
      </c>
      <c r="F10" t="s">
        <v>32</v>
      </c>
      <c r="H10" t="s">
        <v>27</v>
      </c>
      <c r="I10">
        <v>72</v>
      </c>
      <c r="J10">
        <v>47.5</v>
      </c>
      <c r="K10" t="s">
        <v>27</v>
      </c>
    </row>
    <row r="11" spans="3:12" x14ac:dyDescent="0.2">
      <c r="C11">
        <v>9</v>
      </c>
      <c r="D11">
        <v>16</v>
      </c>
      <c r="E11">
        <f t="shared" si="0"/>
        <v>0</v>
      </c>
      <c r="F11" t="s">
        <v>31</v>
      </c>
    </row>
    <row r="12" spans="3:12" x14ac:dyDescent="0.2">
      <c r="C12">
        <v>16</v>
      </c>
      <c r="D12">
        <v>11</v>
      </c>
      <c r="E12">
        <f t="shared" si="0"/>
        <v>1</v>
      </c>
      <c r="F12" t="s">
        <v>28</v>
      </c>
    </row>
    <row r="13" spans="3:12" x14ac:dyDescent="0.2">
      <c r="C13">
        <v>16</v>
      </c>
      <c r="D13">
        <v>5</v>
      </c>
      <c r="E13">
        <f t="shared" si="0"/>
        <v>1</v>
      </c>
      <c r="F13" t="s">
        <v>32</v>
      </c>
    </row>
    <row r="14" spans="3:12" x14ac:dyDescent="0.2">
      <c r="C14">
        <v>16</v>
      </c>
      <c r="D14">
        <v>10</v>
      </c>
      <c r="E14">
        <f t="shared" si="0"/>
        <v>1</v>
      </c>
      <c r="F14" t="s">
        <v>33</v>
      </c>
    </row>
    <row r="15" spans="3:12" x14ac:dyDescent="0.2">
      <c r="C15">
        <v>22</v>
      </c>
      <c r="D15">
        <v>18</v>
      </c>
      <c r="E15">
        <f t="shared" si="0"/>
        <v>1</v>
      </c>
      <c r="F15" t="s">
        <v>32</v>
      </c>
    </row>
    <row r="16" spans="3:12" x14ac:dyDescent="0.2">
      <c r="C16">
        <v>16</v>
      </c>
      <c r="D16">
        <v>7</v>
      </c>
      <c r="E16">
        <f t="shared" si="0"/>
        <v>1</v>
      </c>
      <c r="F16" t="s">
        <v>34</v>
      </c>
    </row>
    <row r="17" spans="3:6" x14ac:dyDescent="0.2">
      <c r="C17">
        <v>10</v>
      </c>
      <c r="D17">
        <v>16</v>
      </c>
      <c r="E17">
        <f t="shared" si="0"/>
        <v>0</v>
      </c>
      <c r="F17" t="s">
        <v>35</v>
      </c>
    </row>
    <row r="18" spans="3:6" x14ac:dyDescent="0.2">
      <c r="C18">
        <v>4</v>
      </c>
      <c r="D18">
        <v>16</v>
      </c>
      <c r="E18">
        <f t="shared" si="0"/>
        <v>0</v>
      </c>
      <c r="F18" t="s">
        <v>31</v>
      </c>
    </row>
    <row r="19" spans="3:6" x14ac:dyDescent="0.2">
      <c r="C19">
        <v>16</v>
      </c>
      <c r="D19">
        <v>3</v>
      </c>
      <c r="E19">
        <f t="shared" si="0"/>
        <v>1</v>
      </c>
      <c r="F19" t="s">
        <v>27</v>
      </c>
    </row>
    <row r="20" spans="3:6" x14ac:dyDescent="0.2">
      <c r="C20">
        <v>16</v>
      </c>
      <c r="D20">
        <v>9</v>
      </c>
      <c r="E20">
        <f t="shared" si="0"/>
        <v>1</v>
      </c>
      <c r="F20" t="s">
        <v>31</v>
      </c>
    </row>
    <row r="21" spans="3:6" x14ac:dyDescent="0.2">
      <c r="C21">
        <v>12</v>
      </c>
      <c r="D21">
        <v>16</v>
      </c>
      <c r="E21">
        <f t="shared" si="0"/>
        <v>0</v>
      </c>
      <c r="F21" t="s">
        <v>35</v>
      </c>
    </row>
    <row r="22" spans="3:6" x14ac:dyDescent="0.2">
      <c r="C22">
        <v>9</v>
      </c>
      <c r="D22">
        <v>16</v>
      </c>
      <c r="E22">
        <f t="shared" si="0"/>
        <v>0</v>
      </c>
      <c r="F22" t="s">
        <v>27</v>
      </c>
    </row>
    <row r="23" spans="3:6" x14ac:dyDescent="0.2">
      <c r="C23">
        <v>14</v>
      </c>
      <c r="D23">
        <v>16</v>
      </c>
      <c r="E23">
        <f t="shared" si="0"/>
        <v>0</v>
      </c>
      <c r="F23" t="s">
        <v>27</v>
      </c>
    </row>
    <row r="24" spans="3:6" x14ac:dyDescent="0.2">
      <c r="C24">
        <v>13</v>
      </c>
      <c r="D24">
        <v>16</v>
      </c>
      <c r="E24">
        <f t="shared" si="0"/>
        <v>0</v>
      </c>
      <c r="F24" t="s">
        <v>35</v>
      </c>
    </row>
    <row r="25" spans="3:6" x14ac:dyDescent="0.2">
      <c r="C25">
        <v>16</v>
      </c>
      <c r="D25">
        <v>10</v>
      </c>
      <c r="E25">
        <f t="shared" si="0"/>
        <v>1</v>
      </c>
      <c r="F25" t="s">
        <v>35</v>
      </c>
    </row>
    <row r="26" spans="3:6" x14ac:dyDescent="0.2">
      <c r="C26">
        <v>13</v>
      </c>
      <c r="D26">
        <v>16</v>
      </c>
      <c r="E26">
        <f t="shared" si="0"/>
        <v>0</v>
      </c>
      <c r="F26" t="s">
        <v>28</v>
      </c>
    </row>
    <row r="27" spans="3:6" x14ac:dyDescent="0.2">
      <c r="C27">
        <f>SUM(C3:C26)</f>
        <v>311</v>
      </c>
      <c r="D27">
        <f>SUM(D3:D26)</f>
        <v>296</v>
      </c>
      <c r="E27">
        <f>SUM(E3:E26)</f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showRuler="0" topLeftCell="A20" zoomScale="96" workbookViewId="0">
      <selection activeCell="C46" sqref="C46"/>
    </sheetView>
  </sheetViews>
  <sheetFormatPr baseColWidth="10" defaultRowHeight="16" x14ac:dyDescent="0.2"/>
  <sheetData>
    <row r="1" spans="1:3" x14ac:dyDescent="0.2">
      <c r="A1" t="s">
        <v>13</v>
      </c>
      <c r="B1" t="s">
        <v>72</v>
      </c>
      <c r="C1" t="s">
        <v>14</v>
      </c>
    </row>
    <row r="2" spans="1:3" x14ac:dyDescent="0.2">
      <c r="A2" t="s">
        <v>73</v>
      </c>
      <c r="B2" t="s">
        <v>74</v>
      </c>
      <c r="C2" t="s">
        <v>15</v>
      </c>
    </row>
    <row r="3" spans="1:3" x14ac:dyDescent="0.2">
      <c r="A3" t="s">
        <v>75</v>
      </c>
      <c r="B3" t="s">
        <v>27</v>
      </c>
      <c r="C3" t="s">
        <v>14</v>
      </c>
    </row>
    <row r="4" spans="1:3" x14ac:dyDescent="0.2">
      <c r="A4" t="s">
        <v>75</v>
      </c>
      <c r="B4" t="s">
        <v>30</v>
      </c>
      <c r="C4" t="s">
        <v>14</v>
      </c>
    </row>
    <row r="5" spans="1:3" x14ac:dyDescent="0.2">
      <c r="A5" t="s">
        <v>76</v>
      </c>
      <c r="B5" t="s">
        <v>74</v>
      </c>
      <c r="C5" t="s">
        <v>14</v>
      </c>
    </row>
    <row r="6" spans="1:3" x14ac:dyDescent="0.2">
      <c r="A6" t="s">
        <v>76</v>
      </c>
      <c r="B6" t="s">
        <v>27</v>
      </c>
      <c r="C6" t="s">
        <v>14</v>
      </c>
    </row>
    <row r="7" spans="1:3" x14ac:dyDescent="0.2">
      <c r="A7" t="s">
        <v>77</v>
      </c>
      <c r="B7" t="s">
        <v>30</v>
      </c>
      <c r="C7" t="s">
        <v>14</v>
      </c>
    </row>
    <row r="8" spans="1:3" x14ac:dyDescent="0.2">
      <c r="A8" t="s">
        <v>77</v>
      </c>
      <c r="B8" t="s">
        <v>30</v>
      </c>
      <c r="C8" t="s">
        <v>15</v>
      </c>
    </row>
    <row r="9" spans="1:3" x14ac:dyDescent="0.2">
      <c r="A9" t="s">
        <v>78</v>
      </c>
      <c r="B9" t="s">
        <v>79</v>
      </c>
      <c r="C9" t="s">
        <v>14</v>
      </c>
    </row>
    <row r="10" spans="1:3" x14ac:dyDescent="0.2">
      <c r="A10" t="s">
        <v>78</v>
      </c>
      <c r="B10" t="s">
        <v>29</v>
      </c>
      <c r="C10" t="s">
        <v>15</v>
      </c>
    </row>
    <row r="11" spans="1:3" x14ac:dyDescent="0.2">
      <c r="A11" t="s">
        <v>77</v>
      </c>
      <c r="B11" t="s">
        <v>29</v>
      </c>
      <c r="C11" t="s">
        <v>14</v>
      </c>
    </row>
    <row r="12" spans="1:3" x14ac:dyDescent="0.2">
      <c r="A12" t="s">
        <v>77</v>
      </c>
      <c r="B12" t="s">
        <v>74</v>
      </c>
      <c r="C12" t="s">
        <v>15</v>
      </c>
    </row>
    <row r="13" spans="1:3" x14ac:dyDescent="0.2">
      <c r="A13" t="s">
        <v>69</v>
      </c>
      <c r="B13" t="s">
        <v>79</v>
      </c>
      <c r="C13" t="s">
        <v>15</v>
      </c>
    </row>
    <row r="14" spans="1:3" x14ac:dyDescent="0.2">
      <c r="A14" t="s">
        <v>69</v>
      </c>
      <c r="B14" t="s">
        <v>80</v>
      </c>
      <c r="C14" t="s">
        <v>15</v>
      </c>
    </row>
    <row r="15" spans="1:3" x14ac:dyDescent="0.2">
      <c r="A15" t="s">
        <v>68</v>
      </c>
      <c r="B15" t="s">
        <v>29</v>
      </c>
      <c r="C15" t="s">
        <v>15</v>
      </c>
    </row>
    <row r="16" spans="1:3" x14ac:dyDescent="0.2">
      <c r="A16" t="s">
        <v>68</v>
      </c>
      <c r="B16" t="s">
        <v>30</v>
      </c>
      <c r="C16" t="s">
        <v>15</v>
      </c>
    </row>
    <row r="17" spans="1:3" x14ac:dyDescent="0.2">
      <c r="A17" t="s">
        <v>81</v>
      </c>
      <c r="B17" t="s">
        <v>74</v>
      </c>
      <c r="C17" t="s">
        <v>15</v>
      </c>
    </row>
    <row r="18" spans="1:3" x14ac:dyDescent="0.2">
      <c r="A18" t="s">
        <v>81</v>
      </c>
      <c r="B18" t="s">
        <v>29</v>
      </c>
      <c r="C18" t="s">
        <v>15</v>
      </c>
    </row>
    <row r="19" spans="1:3" x14ac:dyDescent="0.2">
      <c r="A19" t="s">
        <v>82</v>
      </c>
      <c r="B19" t="s">
        <v>80</v>
      </c>
      <c r="C19" t="s">
        <v>14</v>
      </c>
    </row>
    <row r="20" spans="1:3" x14ac:dyDescent="0.2">
      <c r="A20" t="s">
        <v>82</v>
      </c>
      <c r="B20" t="s">
        <v>29</v>
      </c>
      <c r="C20" t="s">
        <v>15</v>
      </c>
    </row>
    <row r="21" spans="1:3" x14ac:dyDescent="0.2">
      <c r="A21" t="s">
        <v>82</v>
      </c>
      <c r="B21" t="s">
        <v>74</v>
      </c>
      <c r="C21" t="s">
        <v>15</v>
      </c>
    </row>
    <row r="22" spans="1:3" x14ac:dyDescent="0.2">
      <c r="A22" t="s">
        <v>82</v>
      </c>
      <c r="B22" t="s">
        <v>27</v>
      </c>
      <c r="C22" t="s">
        <v>14</v>
      </c>
    </row>
    <row r="23" spans="1:3" x14ac:dyDescent="0.2">
      <c r="A23" t="s">
        <v>6</v>
      </c>
      <c r="B23" t="s">
        <v>79</v>
      </c>
      <c r="C23" t="s">
        <v>14</v>
      </c>
    </row>
    <row r="24" spans="1:3" x14ac:dyDescent="0.2">
      <c r="A24" t="s">
        <v>75</v>
      </c>
      <c r="B24" t="s">
        <v>30</v>
      </c>
      <c r="C24" t="s">
        <v>15</v>
      </c>
    </row>
    <row r="25" spans="1:3" x14ac:dyDescent="0.2">
      <c r="A25" t="s">
        <v>73</v>
      </c>
      <c r="B25" t="s">
        <v>27</v>
      </c>
      <c r="C25" t="s">
        <v>15</v>
      </c>
    </row>
    <row r="26" spans="1:3" x14ac:dyDescent="0.2">
      <c r="A26" t="s">
        <v>73</v>
      </c>
      <c r="B26" t="s">
        <v>79</v>
      </c>
      <c r="C26" t="s">
        <v>15</v>
      </c>
    </row>
    <row r="27" spans="1:3" x14ac:dyDescent="0.2">
      <c r="A27" t="s">
        <v>78</v>
      </c>
      <c r="B27" t="s">
        <v>27</v>
      </c>
      <c r="C27" t="s">
        <v>15</v>
      </c>
    </row>
    <row r="28" spans="1:3" x14ac:dyDescent="0.2">
      <c r="A28" t="s">
        <v>75</v>
      </c>
      <c r="B28" t="s">
        <v>30</v>
      </c>
      <c r="C28" t="s">
        <v>14</v>
      </c>
    </row>
    <row r="29" spans="1:3" x14ac:dyDescent="0.2">
      <c r="A29" t="s">
        <v>73</v>
      </c>
      <c r="B29" t="s">
        <v>29</v>
      </c>
      <c r="C29" t="s">
        <v>15</v>
      </c>
    </row>
    <row r="30" spans="1:3" x14ac:dyDescent="0.2">
      <c r="A30" t="s">
        <v>83</v>
      </c>
      <c r="B30" t="s">
        <v>79</v>
      </c>
      <c r="C30" t="s">
        <v>14</v>
      </c>
    </row>
    <row r="31" spans="1:3" x14ac:dyDescent="0.2">
      <c r="A31" t="s">
        <v>83</v>
      </c>
      <c r="B31" t="s">
        <v>32</v>
      </c>
      <c r="C31" t="s">
        <v>15</v>
      </c>
    </row>
    <row r="32" spans="1:3" x14ac:dyDescent="0.2">
      <c r="A32" t="s">
        <v>78</v>
      </c>
      <c r="B32" t="s">
        <v>29</v>
      </c>
      <c r="C32" t="s">
        <v>14</v>
      </c>
    </row>
    <row r="33" spans="1:3" x14ac:dyDescent="0.2">
      <c r="A33" t="s">
        <v>78</v>
      </c>
      <c r="B33" t="s">
        <v>80</v>
      </c>
      <c r="C33" t="s">
        <v>14</v>
      </c>
    </row>
    <row r="34" spans="1:3" x14ac:dyDescent="0.2">
      <c r="A34" t="s">
        <v>68</v>
      </c>
      <c r="B34" t="s">
        <v>32</v>
      </c>
      <c r="C34" t="s">
        <v>15</v>
      </c>
    </row>
    <row r="35" spans="1:3" x14ac:dyDescent="0.2">
      <c r="A35" t="s">
        <v>68</v>
      </c>
      <c r="B35" t="s">
        <v>30</v>
      </c>
      <c r="C35" t="s">
        <v>15</v>
      </c>
    </row>
    <row r="36" spans="1:3" x14ac:dyDescent="0.2">
      <c r="A36" t="s">
        <v>11</v>
      </c>
      <c r="B36" t="s">
        <v>29</v>
      </c>
      <c r="C36" t="s">
        <v>14</v>
      </c>
    </row>
    <row r="37" spans="1:3" x14ac:dyDescent="0.2">
      <c r="A37" t="s">
        <v>84</v>
      </c>
      <c r="B37" t="s">
        <v>79</v>
      </c>
      <c r="C37" t="s">
        <v>15</v>
      </c>
    </row>
    <row r="38" spans="1:3" x14ac:dyDescent="0.2">
      <c r="A38" t="s">
        <v>68</v>
      </c>
      <c r="B38" t="s">
        <v>74</v>
      </c>
      <c r="C38" t="s">
        <v>15</v>
      </c>
    </row>
    <row r="39" spans="1:3" x14ac:dyDescent="0.2">
      <c r="A39" t="s">
        <v>78</v>
      </c>
      <c r="B39" t="s">
        <v>80</v>
      </c>
      <c r="C39" t="s">
        <v>15</v>
      </c>
    </row>
    <row r="40" spans="1:3" x14ac:dyDescent="0.2">
      <c r="A40" t="s">
        <v>82</v>
      </c>
      <c r="B40" t="s">
        <v>33</v>
      </c>
      <c r="C40" t="s">
        <v>15</v>
      </c>
    </row>
    <row r="41" spans="1:3" x14ac:dyDescent="0.2">
      <c r="A41" t="s">
        <v>82</v>
      </c>
      <c r="B41" t="s">
        <v>29</v>
      </c>
      <c r="C41" t="s">
        <v>15</v>
      </c>
    </row>
    <row r="42" spans="1:3" x14ac:dyDescent="0.2">
      <c r="A42" t="s">
        <v>81</v>
      </c>
      <c r="B42" t="s">
        <v>74</v>
      </c>
      <c r="C42" t="s">
        <v>14</v>
      </c>
    </row>
    <row r="43" spans="1:3" x14ac:dyDescent="0.2">
      <c r="A43" t="s">
        <v>81</v>
      </c>
      <c r="B43" t="s">
        <v>27</v>
      </c>
      <c r="C43" t="s">
        <v>85</v>
      </c>
    </row>
    <row r="44" spans="1:3" x14ac:dyDescent="0.2">
      <c r="A44" t="s">
        <v>81</v>
      </c>
      <c r="B44" t="s">
        <v>79</v>
      </c>
      <c r="C44" t="s">
        <v>15</v>
      </c>
    </row>
    <row r="45" spans="1:3" x14ac:dyDescent="0.2">
      <c r="A45" t="s">
        <v>81</v>
      </c>
      <c r="B45" t="s">
        <v>32</v>
      </c>
      <c r="C45" t="s">
        <v>15</v>
      </c>
    </row>
    <row r="46" spans="1:3" x14ac:dyDescent="0.2">
      <c r="A46" t="s">
        <v>11</v>
      </c>
      <c r="B46" t="s">
        <v>32</v>
      </c>
      <c r="C4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function</vt:lpstr>
      <vt:lpstr>1 tier rough calculation</vt:lpstr>
      <vt:lpstr>1 tier 2nd calculation</vt:lpstr>
      <vt:lpstr>trial 7 week</vt:lpstr>
      <vt:lpstr>tier 2 tengri vs vega</vt:lpstr>
      <vt:lpstr>problem</vt:lpstr>
      <vt:lpstr>2 tier</vt:lpstr>
      <vt:lpstr>nip vs g2</vt:lpstr>
      <vt:lpstr>Nip 2017 game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2017-06-10T01:59:58Z</dcterms:created>
  <dcterms:modified xsi:type="dcterms:W3CDTF">2017-08-21T16:20:35Z</dcterms:modified>
</cp:coreProperties>
</file>